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uang\OneDrive\Desktop\DuAnTotNghiep\data\raw\"/>
    </mc:Choice>
  </mc:AlternateContent>
  <xr:revisionPtr revIDLastSave="0" documentId="13_ncr:1_{CA3D5B5B-A8D0-4886-9289-895AA328A9CE}" xr6:coauthVersionLast="47" xr6:coauthVersionMax="47" xr10:uidLastSave="{00000000-0000-0000-0000-000000000000}"/>
  <bookViews>
    <workbookView xWindow="-108" yWindow="-108" windowWidth="23256" windowHeight="12456" xr2:uid="{7BB04D76-5AD4-4B34-964C-F376ACF32298}"/>
  </bookViews>
  <sheets>
    <sheet name="Giá sp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33" i="2" l="1"/>
  <c r="F136" i="2"/>
  <c r="F115" i="2"/>
  <c r="F129" i="2"/>
  <c r="F132" i="2"/>
  <c r="F140" i="2"/>
  <c r="F139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D229C8-3F41-4B3D-997A-536576F2B14E}" keepAlive="1" name="Query - Dim Product (2)" description="Connection to the 'Dim Product (2)' query in the workbook." type="5" refreshedVersion="8" background="1" saveData="1">
    <dbPr connection="Provider=Microsoft.Mashup.OleDb.1;Data Source=$Workbook$;Location=&quot;Dim Product (2)&quot;;Extended Properties=&quot;&quot;" command="SELECT * FROM [Dim Product (2)]"/>
  </connection>
</connections>
</file>

<file path=xl/sharedStrings.xml><?xml version="1.0" encoding="utf-8"?>
<sst xmlns="http://schemas.openxmlformats.org/spreadsheetml/2006/main" count="975" uniqueCount="506">
  <si>
    <t>Mã Sản phẩm</t>
  </si>
  <si>
    <t>Nhóm SP Chuẩn</t>
  </si>
  <si>
    <t>Loại SP Chuẩn</t>
  </si>
  <si>
    <t>Tên SP Mới</t>
  </si>
  <si>
    <t>Giá bán lẻ</t>
  </si>
  <si>
    <t>Giá vốn</t>
  </si>
  <si>
    <t>PROD_00001</t>
  </si>
  <si>
    <t>Hòa Tan</t>
  </si>
  <si>
    <t>Cà phê hòa tan</t>
  </si>
  <si>
    <t>Instant Coffee 001</t>
  </si>
  <si>
    <t>PROD_00002</t>
  </si>
  <si>
    <t>Instant Coffee 002</t>
  </si>
  <si>
    <t>PROD_00003</t>
  </si>
  <si>
    <t>Instant Coffee 003</t>
  </si>
  <si>
    <t>PROD_00004</t>
  </si>
  <si>
    <t>Instant Coffee 004</t>
  </si>
  <si>
    <t>PROD_00005</t>
  </si>
  <si>
    <t>Instant Coffee 005</t>
  </si>
  <si>
    <t>PROD_00006</t>
  </si>
  <si>
    <t>Instant Coffee 006</t>
  </si>
  <si>
    <t>PROD_00007</t>
  </si>
  <si>
    <t>Instant Coffee 007</t>
  </si>
  <si>
    <t>PROD_00008</t>
  </si>
  <si>
    <t>Instant Coffee 008</t>
  </si>
  <si>
    <t>PROD_00009</t>
  </si>
  <si>
    <t>Instant Coffee 009</t>
  </si>
  <si>
    <t>PROD_00010</t>
  </si>
  <si>
    <t>Instant Coffee 010</t>
  </si>
  <si>
    <t>PROD_00011</t>
  </si>
  <si>
    <t>Instant Coffee 011</t>
  </si>
  <si>
    <t>PROD_00012</t>
  </si>
  <si>
    <t>Instant Coffee 012</t>
  </si>
  <si>
    <t>PROD_00013</t>
  </si>
  <si>
    <t>Instant Coffee 013</t>
  </si>
  <si>
    <t>PROD_00014</t>
  </si>
  <si>
    <t>Instant Coffee 014</t>
  </si>
  <si>
    <t>PROD_00015</t>
  </si>
  <si>
    <t>Instant Coffee 015</t>
  </si>
  <si>
    <t>PROD_00016</t>
  </si>
  <si>
    <t>Rang Xay</t>
  </si>
  <si>
    <t>Cà phê rang xay</t>
  </si>
  <si>
    <t>Ground Coffee 001</t>
  </si>
  <si>
    <t>PROD_00017</t>
  </si>
  <si>
    <t>Ground Coffee 002</t>
  </si>
  <si>
    <t>PROD_00018</t>
  </si>
  <si>
    <t>Ground Coffee 003</t>
  </si>
  <si>
    <t>PROD_00019</t>
  </si>
  <si>
    <t>Ground Coffee 004</t>
  </si>
  <si>
    <t>PROD_00020</t>
  </si>
  <si>
    <t>Ground Coffee 005</t>
  </si>
  <si>
    <t>PROD_00021</t>
  </si>
  <si>
    <t>Ground Coffee 006</t>
  </si>
  <si>
    <t>PROD_00022</t>
  </si>
  <si>
    <t>Ground Coffee 007</t>
  </si>
  <si>
    <t>PROD_00023</t>
  </si>
  <si>
    <t>Ground Coffee 008</t>
  </si>
  <si>
    <t>PROD_00024</t>
  </si>
  <si>
    <t>Ground Coffee 009</t>
  </si>
  <si>
    <t>PROD_00025</t>
  </si>
  <si>
    <t>Ground Coffee 010</t>
  </si>
  <si>
    <t>PROD_00026</t>
  </si>
  <si>
    <t>Ground Coffee 011</t>
  </si>
  <si>
    <t>PROD_00027</t>
  </si>
  <si>
    <t>Ground Coffee 012</t>
  </si>
  <si>
    <t>PROD_00028</t>
  </si>
  <si>
    <t>Ground Coffee 013</t>
  </si>
  <si>
    <t>PROD_00029</t>
  </si>
  <si>
    <t>Ground Coffee 014</t>
  </si>
  <si>
    <t>PROD_00030</t>
  </si>
  <si>
    <t>Ground Coffee 015</t>
  </si>
  <si>
    <t>PROD_00031</t>
  </si>
  <si>
    <t>Ground Coffee 016</t>
  </si>
  <si>
    <t>PROD_00032</t>
  </si>
  <si>
    <t>Ground Coffee 017</t>
  </si>
  <si>
    <t>PROD_00033</t>
  </si>
  <si>
    <t>Ground Coffee 018</t>
  </si>
  <si>
    <t>PROD_00034</t>
  </si>
  <si>
    <t>Ground Coffee 019</t>
  </si>
  <si>
    <t>PROD_00035</t>
  </si>
  <si>
    <t>Ground Coffee 020</t>
  </si>
  <si>
    <t>PROD_00036</t>
  </si>
  <si>
    <t>Ground Coffee 021</t>
  </si>
  <si>
    <t>PROD_00037</t>
  </si>
  <si>
    <t>Ground Coffee 022</t>
  </si>
  <si>
    <t>PROD_00038</t>
  </si>
  <si>
    <t>Ground Coffee 023</t>
  </si>
  <si>
    <t>PROD_00039</t>
  </si>
  <si>
    <t>Ground Coffee 024</t>
  </si>
  <si>
    <t>PROD_00040</t>
  </si>
  <si>
    <t>Ground Coffee 025</t>
  </si>
  <si>
    <t>PROD_00041</t>
  </si>
  <si>
    <t>Ground Coffee 026</t>
  </si>
  <si>
    <t>PROD_00042</t>
  </si>
  <si>
    <t>Ground Coffee 027</t>
  </si>
  <si>
    <t>PROD_00043</t>
  </si>
  <si>
    <t>Ground Coffee 028</t>
  </si>
  <si>
    <t>PROD_00044</t>
  </si>
  <si>
    <t>Ground Coffee 029</t>
  </si>
  <si>
    <t>PROD_00045</t>
  </si>
  <si>
    <t>Ground Coffee 030</t>
  </si>
  <si>
    <t>PROD_00046</t>
  </si>
  <si>
    <t>Ground Coffee 031</t>
  </si>
  <si>
    <t>PROD_00047</t>
  </si>
  <si>
    <t>Ground Coffee 032</t>
  </si>
  <si>
    <t>PROD_00048</t>
  </si>
  <si>
    <t>Ground Coffee 033</t>
  </si>
  <si>
    <t>PROD_00049</t>
  </si>
  <si>
    <t>Ground Coffee 034</t>
  </si>
  <si>
    <t>PROD_00050</t>
  </si>
  <si>
    <t>Ground Coffee 035</t>
  </si>
  <si>
    <t>Chocolate</t>
  </si>
  <si>
    <t>PROD_00051</t>
  </si>
  <si>
    <t>Đồ Uống</t>
  </si>
  <si>
    <t>Chocolate Beverage 001</t>
  </si>
  <si>
    <t>PROD_00052</t>
  </si>
  <si>
    <t>Chocolate Beverage 002</t>
  </si>
  <si>
    <t>PROD_00053</t>
  </si>
  <si>
    <t>Chocolate Beverage 003</t>
  </si>
  <si>
    <t>PROD_00054</t>
  </si>
  <si>
    <t>Chocolate Beverage 004</t>
  </si>
  <si>
    <t>Combo</t>
  </si>
  <si>
    <t>PROD_00055</t>
  </si>
  <si>
    <t>Khác</t>
  </si>
  <si>
    <t>Combo Package 001</t>
  </si>
  <si>
    <t>PROD_00056</t>
  </si>
  <si>
    <t>Combo Package 002</t>
  </si>
  <si>
    <t>PROD_00057</t>
  </si>
  <si>
    <t>Combo Package 003</t>
  </si>
  <si>
    <t>PROD_00058</t>
  </si>
  <si>
    <t>Combo Package 004</t>
  </si>
  <si>
    <t>PROD_00059</t>
  </si>
  <si>
    <t>Combo Package 005</t>
  </si>
  <si>
    <t>PROD_00060</t>
  </si>
  <si>
    <t>Combo Package 006</t>
  </si>
  <si>
    <t>PROD_00061</t>
  </si>
  <si>
    <t>Combo Package 007</t>
  </si>
  <si>
    <t>PROD_00062</t>
  </si>
  <si>
    <t>Combo Package 008</t>
  </si>
  <si>
    <t>Nước ép</t>
  </si>
  <si>
    <t>PROD_00063</t>
  </si>
  <si>
    <t>Juice Beverage 001</t>
  </si>
  <si>
    <t>PROD_00064</t>
  </si>
  <si>
    <t>Juice Beverage 002</t>
  </si>
  <si>
    <t>PROD_00065</t>
  </si>
  <si>
    <t>Juice Beverage 003</t>
  </si>
  <si>
    <t>PROD_00066</t>
  </si>
  <si>
    <t>Juice Beverage 004</t>
  </si>
  <si>
    <t>PROD_00067</t>
  </si>
  <si>
    <t>Juice Beverage 005</t>
  </si>
  <si>
    <t>PROD_00068</t>
  </si>
  <si>
    <t>Juice Beverage 006</t>
  </si>
  <si>
    <t>PROD_00069</t>
  </si>
  <si>
    <t>Juice Beverage 007</t>
  </si>
  <si>
    <t>PROD_00070</t>
  </si>
  <si>
    <t>Juice Beverage 008</t>
  </si>
  <si>
    <t>PROD_00071</t>
  </si>
  <si>
    <t>Juice Beverage 009</t>
  </si>
  <si>
    <t>PROD_00072</t>
  </si>
  <si>
    <t>Juice Beverage 010</t>
  </si>
  <si>
    <t>PROD_00073</t>
  </si>
  <si>
    <t>Juice Beverage 011</t>
  </si>
  <si>
    <t>PROD_00074</t>
  </si>
  <si>
    <t>Juice Beverage 012</t>
  </si>
  <si>
    <t>PROD_00075</t>
  </si>
  <si>
    <t>Juice Beverage 013</t>
  </si>
  <si>
    <t>PROD_00076</t>
  </si>
  <si>
    <t>Juice Beverage 014</t>
  </si>
  <si>
    <t>PROD_00077</t>
  </si>
  <si>
    <t>Juice Beverage 015</t>
  </si>
  <si>
    <t>PROD_00078</t>
  </si>
  <si>
    <t>Juice Beverage 016</t>
  </si>
  <si>
    <t>PROD_00079</t>
  </si>
  <si>
    <t>Juice Beverage 017</t>
  </si>
  <si>
    <t>PROD_00080</t>
  </si>
  <si>
    <t>Juice Beverage 018</t>
  </si>
  <si>
    <t>PROD_00081</t>
  </si>
  <si>
    <t>Juice Beverage 019</t>
  </si>
  <si>
    <t>PROD_00082</t>
  </si>
  <si>
    <t>Juice Beverage 020</t>
  </si>
  <si>
    <t>PROD_00083</t>
  </si>
  <si>
    <t>Juice Beverage 021</t>
  </si>
  <si>
    <t>PROD_00084</t>
  </si>
  <si>
    <t>Juice Beverage 022</t>
  </si>
  <si>
    <t>PROD_00085</t>
  </si>
  <si>
    <t>Juice Beverage 023</t>
  </si>
  <si>
    <t>PROD_00086</t>
  </si>
  <si>
    <t>Juice Beverage 024</t>
  </si>
  <si>
    <t>PROD_00087</t>
  </si>
  <si>
    <t>Juice Beverage 025</t>
  </si>
  <si>
    <t>PROD_00088</t>
  </si>
  <si>
    <t>Juice Beverage 026</t>
  </si>
  <si>
    <t>PROD_00089</t>
  </si>
  <si>
    <t>Juice Beverage 027</t>
  </si>
  <si>
    <t>PROD_00090</t>
  </si>
  <si>
    <t>Juice Beverage 028</t>
  </si>
  <si>
    <t>PROD_00091</t>
  </si>
  <si>
    <t>Juice Beverage 029</t>
  </si>
  <si>
    <t>PROD_00092</t>
  </si>
  <si>
    <t>Juice Beverage 030</t>
  </si>
  <si>
    <t>PROD_00093</t>
  </si>
  <si>
    <t>Juice Beverage 031</t>
  </si>
  <si>
    <t>PROD_00094</t>
  </si>
  <si>
    <t>Juice Beverage 032</t>
  </si>
  <si>
    <t>PROD_00095</t>
  </si>
  <si>
    <t>Juice Beverage 033</t>
  </si>
  <si>
    <t>PROD_00096</t>
  </si>
  <si>
    <t>Juice Beverage 034</t>
  </si>
  <si>
    <t>PROD_00097</t>
  </si>
  <si>
    <t>Juice Beverage 035</t>
  </si>
  <si>
    <t>Sinh tố</t>
  </si>
  <si>
    <t>PROD_00098</t>
  </si>
  <si>
    <t>Smoothie Beverage 001</t>
  </si>
  <si>
    <t>PROD_00099</t>
  </si>
  <si>
    <t>Smoothie Beverage 002</t>
  </si>
  <si>
    <t>PROD_00100</t>
  </si>
  <si>
    <t>Smoothie Beverage 003</t>
  </si>
  <si>
    <t>PROD_00101</t>
  </si>
  <si>
    <t>Smoothie Beverage 004</t>
  </si>
  <si>
    <t>Sữa</t>
  </si>
  <si>
    <t>PROD_00102</t>
  </si>
  <si>
    <t>Milk Beverage 001</t>
  </si>
  <si>
    <t>PROD_00103</t>
  </si>
  <si>
    <t>Milk Beverage 002</t>
  </si>
  <si>
    <t>PROD_00104</t>
  </si>
  <si>
    <t>Milk Beverage 003</t>
  </si>
  <si>
    <t>PROD_00105</t>
  </si>
  <si>
    <t>Milk Beverage 004</t>
  </si>
  <si>
    <t>PROD_00106</t>
  </si>
  <si>
    <t>Milk Beverage 005</t>
  </si>
  <si>
    <t>PROD_00107</t>
  </si>
  <si>
    <t>Milk Beverage 006</t>
  </si>
  <si>
    <t>PROD_00108</t>
  </si>
  <si>
    <t>Instant Coffee 016</t>
  </si>
  <si>
    <t>PROD_00109</t>
  </si>
  <si>
    <t>Instant Coffee 017</t>
  </si>
  <si>
    <t>PROD_00110</t>
  </si>
  <si>
    <t>Instant Coffee 018</t>
  </si>
  <si>
    <t>PROD_00111</t>
  </si>
  <si>
    <t>Instant Coffee 019</t>
  </si>
  <si>
    <t>PROD_00112</t>
  </si>
  <si>
    <t>Instant Coffee 020</t>
  </si>
  <si>
    <t>PROD_00113</t>
  </si>
  <si>
    <t>Instant Coffee 021</t>
  </si>
  <si>
    <t>PROD_00114</t>
  </si>
  <si>
    <t>Instant Coffee 022</t>
  </si>
  <si>
    <t>PROD_00115</t>
  </si>
  <si>
    <t>Instant Coffee 023</t>
  </si>
  <si>
    <t>PROD_00116</t>
  </si>
  <si>
    <t>Instant Coffee 024</t>
  </si>
  <si>
    <t>PROD_00117</t>
  </si>
  <si>
    <t>Instant Coffee 025</t>
  </si>
  <si>
    <t>PROD_00118</t>
  </si>
  <si>
    <t>Instant Coffee 026</t>
  </si>
  <si>
    <t>PROD_00119</t>
  </si>
  <si>
    <t>Instant Coffee 027</t>
  </si>
  <si>
    <t>PROD_00120</t>
  </si>
  <si>
    <t>Instant Coffee 028</t>
  </si>
  <si>
    <t>PROD_00121</t>
  </si>
  <si>
    <t>Instant Coffee 029</t>
  </si>
  <si>
    <t>PROD_00122</t>
  </si>
  <si>
    <t>Instant Coffee 030</t>
  </si>
  <si>
    <t>PROD_00123</t>
  </si>
  <si>
    <t>Instant Coffee 031</t>
  </si>
  <si>
    <t>PROD_00124</t>
  </si>
  <si>
    <t>Instant Coffee 032</t>
  </si>
  <si>
    <t>PROD_00125</t>
  </si>
  <si>
    <t>Instant Coffee 033</t>
  </si>
  <si>
    <t>PROD_00126</t>
  </si>
  <si>
    <t>Instant Coffee 034</t>
  </si>
  <si>
    <t>PROD_00127</t>
  </si>
  <si>
    <t>Ground Coffee 036</t>
  </si>
  <si>
    <t>PROD_00128</t>
  </si>
  <si>
    <t>Ground Coffee 037</t>
  </si>
  <si>
    <t>PROD_00129</t>
  </si>
  <si>
    <t>Ground Coffee 038</t>
  </si>
  <si>
    <t>PROD_00130</t>
  </si>
  <si>
    <t>Ground Coffee 039</t>
  </si>
  <si>
    <t>PROD_00131</t>
  </si>
  <si>
    <t>Ground Coffee 040</t>
  </si>
  <si>
    <t>PROD_00132</t>
  </si>
  <si>
    <t>Ground Coffee 041</t>
  </si>
  <si>
    <t>PROD_00133</t>
  </si>
  <si>
    <t>Ground Coffee 042</t>
  </si>
  <si>
    <t>PROD_00134</t>
  </si>
  <si>
    <t>Ground Coffee 043</t>
  </si>
  <si>
    <t>PROD_00135</t>
  </si>
  <si>
    <t>Ground Coffee 044</t>
  </si>
  <si>
    <t>PROD_00136</t>
  </si>
  <si>
    <t>Ground Coffee 045</t>
  </si>
  <si>
    <t>PROD_00137</t>
  </si>
  <si>
    <t>Ground Coffee 046</t>
  </si>
  <si>
    <t>PROD_00138</t>
  </si>
  <si>
    <t>Ground Coffee 047</t>
  </si>
  <si>
    <t>PROD_00139</t>
  </si>
  <si>
    <t>Ground Coffee 048</t>
  </si>
  <si>
    <t>PROD_00140</t>
  </si>
  <si>
    <t>Ground Coffee 049</t>
  </si>
  <si>
    <t>PROD_00141</t>
  </si>
  <si>
    <t>Ground Coffee 050</t>
  </si>
  <si>
    <t>PROD_00142</t>
  </si>
  <si>
    <t>Ground Coffee 051</t>
  </si>
  <si>
    <t>PROD_00143</t>
  </si>
  <si>
    <t>Ground Coffee 052</t>
  </si>
  <si>
    <t>PROD_00144</t>
  </si>
  <si>
    <t>Thức uống cà phê</t>
  </si>
  <si>
    <t>Coffee Beverage 001</t>
  </si>
  <si>
    <t>PROD_00145</t>
  </si>
  <si>
    <t>Coffee Beverage 002</t>
  </si>
  <si>
    <t>PROD_00146</t>
  </si>
  <si>
    <t>Coffee Beverage 003</t>
  </si>
  <si>
    <t>PROD_00147</t>
  </si>
  <si>
    <t>Coffee Beverage 004</t>
  </si>
  <si>
    <t>PROD_00148</t>
  </si>
  <si>
    <t>Coffee Beverage 005</t>
  </si>
  <si>
    <t>PROD_00149</t>
  </si>
  <si>
    <t>Coffee Beverage 006</t>
  </si>
  <si>
    <t>PROD_00150</t>
  </si>
  <si>
    <t>Coffee Beverage 007</t>
  </si>
  <si>
    <t>PROD_00151</t>
  </si>
  <si>
    <t>Coffee Beverage 008</t>
  </si>
  <si>
    <t>PROD_00152</t>
  </si>
  <si>
    <t>Coffee Beverage 009</t>
  </si>
  <si>
    <t>PROD_00153</t>
  </si>
  <si>
    <t>Coffee Beverage 010</t>
  </si>
  <si>
    <t>PROD_00154</t>
  </si>
  <si>
    <t>Coffee Beverage 011</t>
  </si>
  <si>
    <t>PROD_00155</t>
  </si>
  <si>
    <t>Coffee Beverage 012</t>
  </si>
  <si>
    <t>PROD_00156</t>
  </si>
  <si>
    <t>Coffee Beverage 013</t>
  </si>
  <si>
    <t>PROD_00157</t>
  </si>
  <si>
    <t>Coffee Beverage 014</t>
  </si>
  <si>
    <t>PROD_00158</t>
  </si>
  <si>
    <t>Coffee Beverage 015</t>
  </si>
  <si>
    <t>PROD_00159</t>
  </si>
  <si>
    <t>Coffee Beverage 016</t>
  </si>
  <si>
    <t>PROD_00160</t>
  </si>
  <si>
    <t>Coffee Beverage 017</t>
  </si>
  <si>
    <t>PROD_00161</t>
  </si>
  <si>
    <t>Coffee Beverage 018</t>
  </si>
  <si>
    <t>PROD_00162</t>
  </si>
  <si>
    <t>Coffee Beverage 019</t>
  </si>
  <si>
    <t>PROD_00163</t>
  </si>
  <si>
    <t>Coffee Beverage 020</t>
  </si>
  <si>
    <t>PROD_00164</t>
  </si>
  <si>
    <t>Coffee Beverage 021</t>
  </si>
  <si>
    <t>PROD_00165</t>
  </si>
  <si>
    <t>Coffee Beverage 022</t>
  </si>
  <si>
    <t>PROD_00166</t>
  </si>
  <si>
    <t>Coffee Beverage 023</t>
  </si>
  <si>
    <t>PROD_00167</t>
  </si>
  <si>
    <t>Coffee Beverage 024</t>
  </si>
  <si>
    <t>PROD_00168</t>
  </si>
  <si>
    <t>Coffee Beverage 025</t>
  </si>
  <si>
    <t>PROD_00169</t>
  </si>
  <si>
    <t>Coffee Beverage 026</t>
  </si>
  <si>
    <t>PROD_00170</t>
  </si>
  <si>
    <t>Coffee Beverage 027</t>
  </si>
  <si>
    <t>PROD_00171</t>
  </si>
  <si>
    <t>Coffee Beverage 028</t>
  </si>
  <si>
    <t>PROD_00172</t>
  </si>
  <si>
    <t>Coffee Beverage 029</t>
  </si>
  <si>
    <t>PROD_00173</t>
  </si>
  <si>
    <t>Coffee Beverage 030</t>
  </si>
  <si>
    <t>PROD_00174</t>
  </si>
  <si>
    <t>Coffee Beverage 031</t>
  </si>
  <si>
    <t>PROD_00175</t>
  </si>
  <si>
    <t>Coffee Beverage 032</t>
  </si>
  <si>
    <t>PROD_00176</t>
  </si>
  <si>
    <t>Coffee Beverage 033</t>
  </si>
  <si>
    <t>PROD_00177</t>
  </si>
  <si>
    <t>Coffee Beverage 034</t>
  </si>
  <si>
    <t>PROD_00178</t>
  </si>
  <si>
    <t>Coffee Beverage 035</t>
  </si>
  <si>
    <t>PROD_00179</t>
  </si>
  <si>
    <t>Coffee Beverage 036</t>
  </si>
  <si>
    <t>PROD_00180</t>
  </si>
  <si>
    <t>Coffee Beverage 037</t>
  </si>
  <si>
    <t>PROD_00181</t>
  </si>
  <si>
    <t>Coffee Beverage 038</t>
  </si>
  <si>
    <t>PROD_00182</t>
  </si>
  <si>
    <t>Coffee Beverage 039</t>
  </si>
  <si>
    <t>PROD_00183</t>
  </si>
  <si>
    <t>Coffee Beverage 040</t>
  </si>
  <si>
    <t>PROD_00184</t>
  </si>
  <si>
    <t>Coffee Beverage 041</t>
  </si>
  <si>
    <t>PROD_00185</t>
  </si>
  <si>
    <t>Coffee Beverage 042</t>
  </si>
  <si>
    <t>PROD_00186</t>
  </si>
  <si>
    <t>Coffee Beverage 043</t>
  </si>
  <si>
    <t>PROD_00187</t>
  </si>
  <si>
    <t>Coffee Beverage 044</t>
  </si>
  <si>
    <t>PROD_00188</t>
  </si>
  <si>
    <t>Coffee Beverage 045</t>
  </si>
  <si>
    <t>PROD_00189</t>
  </si>
  <si>
    <t>Coffee Beverage 046</t>
  </si>
  <si>
    <t>PROD_00190</t>
  </si>
  <si>
    <t>Coffee Beverage 047</t>
  </si>
  <si>
    <t>PROD_00191</t>
  </si>
  <si>
    <t>Coffee Beverage 048</t>
  </si>
  <si>
    <t>PROD_00192</t>
  </si>
  <si>
    <t>Coffee Beverage 049</t>
  </si>
  <si>
    <t>PROD_00193</t>
  </si>
  <si>
    <t>Coffee Beverage 050</t>
  </si>
  <si>
    <t>PROD_00194</t>
  </si>
  <si>
    <t>Coffee Beverage 051</t>
  </si>
  <si>
    <t>PROD_00195</t>
  </si>
  <si>
    <t>Coffee Beverage 052</t>
  </si>
  <si>
    <t>PROD_00196</t>
  </si>
  <si>
    <t>Coffee Beverage 053</t>
  </si>
  <si>
    <t>PROD_00197</t>
  </si>
  <si>
    <t>Coffee Beverage 054</t>
  </si>
  <si>
    <t>PROD_00198</t>
  </si>
  <si>
    <t>Coffee Beverage 055</t>
  </si>
  <si>
    <t>PROD_00199</t>
  </si>
  <si>
    <t>Coffee Beverage 056</t>
  </si>
  <si>
    <t>PROD_00200</t>
  </si>
  <si>
    <t>Coffee Beverage 057</t>
  </si>
  <si>
    <t>PROD_00201</t>
  </si>
  <si>
    <t>Coffee Beverage 058</t>
  </si>
  <si>
    <t>PROD_00202</t>
  </si>
  <si>
    <t>Coffee Beverage 059</t>
  </si>
  <si>
    <t>PROD_00203</t>
  </si>
  <si>
    <t>Coffee Beverage 060</t>
  </si>
  <si>
    <t>Thức uống đóng chai</t>
  </si>
  <si>
    <t>PROD_00204</t>
  </si>
  <si>
    <t>Bottled Beverage 001</t>
  </si>
  <si>
    <t>PROD_00205</t>
  </si>
  <si>
    <t>Bottled Beverage 002</t>
  </si>
  <si>
    <t>Trà</t>
  </si>
  <si>
    <t>PROD_00206</t>
  </si>
  <si>
    <t>Tea Beverage 001</t>
  </si>
  <si>
    <t>PROD_00207</t>
  </si>
  <si>
    <t>Tea Beverage 002</t>
  </si>
  <si>
    <t>PROD_00208</t>
  </si>
  <si>
    <t>Tea Beverage 003</t>
  </si>
  <si>
    <t>PROD_00209</t>
  </si>
  <si>
    <t>Tea Beverage 004</t>
  </si>
  <si>
    <t>PROD_00210</t>
  </si>
  <si>
    <t>Tea Beverage 005</t>
  </si>
  <si>
    <t>PROD_00211</t>
  </si>
  <si>
    <t>Tea Beverage 006</t>
  </si>
  <si>
    <t>PROD_00212</t>
  </si>
  <si>
    <t>Tea Beverage 007</t>
  </si>
  <si>
    <t>PROD_00213</t>
  </si>
  <si>
    <t>Tea Beverage 008</t>
  </si>
  <si>
    <t>PROD_00214</t>
  </si>
  <si>
    <t>Tea Beverage 009</t>
  </si>
  <si>
    <t>PROD_00215</t>
  </si>
  <si>
    <t>Tea Beverage 010</t>
  </si>
  <si>
    <t>PROD_00216</t>
  </si>
  <si>
    <t>Tea Beverage 011</t>
  </si>
  <si>
    <t>PROD_00217</t>
  </si>
  <si>
    <t>Tea Beverage 012</t>
  </si>
  <si>
    <t>PROD_00218</t>
  </si>
  <si>
    <t>Tea Beverage 013</t>
  </si>
  <si>
    <t>PROD_00219</t>
  </si>
  <si>
    <t>Tea Beverage 014</t>
  </si>
  <si>
    <t>PROD_00220</t>
  </si>
  <si>
    <t>Tea Beverage 015</t>
  </si>
  <si>
    <t>PROD_00221</t>
  </si>
  <si>
    <t>Tea Beverage 016</t>
  </si>
  <si>
    <t>PROD_00222</t>
  </si>
  <si>
    <t>Tea Beverage 017</t>
  </si>
  <si>
    <t>Đá xay</t>
  </si>
  <si>
    <t>PROD_00223</t>
  </si>
  <si>
    <t>Blended Beverage 001</t>
  </si>
  <si>
    <t>PROD_00224</t>
  </si>
  <si>
    <t>Blended Beverage 002</t>
  </si>
  <si>
    <t>PROD_00225</t>
  </si>
  <si>
    <t>Blended Beverage 003</t>
  </si>
  <si>
    <t>PROD_00226</t>
  </si>
  <si>
    <t>Blended Beverage 004</t>
  </si>
  <si>
    <t>PROD_00227</t>
  </si>
  <si>
    <t>Blended Beverage 005</t>
  </si>
  <si>
    <t>PROD_00228</t>
  </si>
  <si>
    <t>Blended Beverage 006</t>
  </si>
  <si>
    <t>PROD_00229</t>
  </si>
  <si>
    <t>Blended Beverage 007</t>
  </si>
  <si>
    <t>PROD_00230</t>
  </si>
  <si>
    <t>Blended Beverage 008</t>
  </si>
  <si>
    <t>PROD_00231</t>
  </si>
  <si>
    <t>Blended Beverage 009</t>
  </si>
  <si>
    <t>PROD_00232</t>
  </si>
  <si>
    <t>Blended Beverage 010</t>
  </si>
  <si>
    <t>PROD_00233</t>
  </si>
  <si>
    <t>Blended Beverage 011</t>
  </si>
  <si>
    <t>PROD_00234</t>
  </si>
  <si>
    <t>Blended Beverage 012</t>
  </si>
  <si>
    <t>PROD_00235</t>
  </si>
  <si>
    <t>Blended Beverage 013</t>
  </si>
  <si>
    <t>PROD_00236</t>
  </si>
  <si>
    <t>Blended Beverage 014</t>
  </si>
  <si>
    <t>PROD_00237</t>
  </si>
  <si>
    <t>Blended Beverage 015</t>
  </si>
  <si>
    <t>PROD_00238</t>
  </si>
  <si>
    <t>Blended Beverage 016</t>
  </si>
  <si>
    <t>PROD_00239</t>
  </si>
  <si>
    <t>Blended Beverage 017</t>
  </si>
  <si>
    <t>PROD_00240</t>
  </si>
  <si>
    <t>Blended Beverage 018</t>
  </si>
  <si>
    <t>PROD_00241</t>
  </si>
  <si>
    <t>Instant Coffee 035</t>
  </si>
  <si>
    <t>PROD_00242</t>
  </si>
  <si>
    <t>Ground Coffee 053</t>
  </si>
  <si>
    <t>251999.99948000003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</si>
</sst>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name val="VNI-Times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quotePrefix="1" applyBorder="1"/>
  </cellXfs>
  <cellStyles count="2">
    <cellStyle name="Normal" xfId="0" builtinId="0"/>
    <cellStyle name="Normal 4" xfId="1" xr:uid="{369CA1F6-ECF2-4C25-922B-AB6C339047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ABB35C-4917-4D01-8741-8BE94E04C98C}" name="Table2" displayName="Table2" ref="A1:F243" totalsRowShown="0">
  <autoFilter ref="A1:F243" xr:uid="{E7ABB35C-4917-4D01-8741-8BE94E04C98C}"/>
  <tableColumns count="6">
    <tableColumn id="1" xr3:uid="{6F8C9FC1-350E-40B0-8831-549A95837905}" name="Mã Sản phẩm"/>
    <tableColumn id="2" xr3:uid="{220CE9BD-62AC-42F6-919B-835E1CE44325}" name="Nhóm SP Chuẩn"/>
    <tableColumn id="3" xr3:uid="{BBA5A12B-8748-44AD-A00E-8B1FF933A710}" name="Loại SP Chuẩn"/>
    <tableColumn id="4" xr3:uid="{6ABAC0D7-BC60-49C7-82BF-60A9B3A27EB5}" name="Tên SP Mới"/>
    <tableColumn id="5" xr3:uid="{7A6251C7-673A-453B-AE74-276B34A381A7}" name="Giá bán lẻ"/>
    <tableColumn id="6" xr3:uid="{4EE15B80-A1DC-4ADB-B9DB-41DEFED2CC68}" name="Giá vố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04BBC-48D6-4950-B001-20681BA45B9F}">
  <dimension ref="A1:M243"/>
  <sheetViews>
    <sheetView tabSelected="1" workbookViewId="0">
      <selection activeCell="F16" sqref="F16"/>
    </sheetView>
  </sheetViews>
  <sheetFormatPr defaultRowHeight="14.4"/>
  <cols>
    <col min="1" max="1" width="13.88671875" customWidth="1"/>
    <col min="2" max="2" width="16" customWidth="1"/>
    <col min="3" max="3" width="14.44140625" customWidth="1"/>
    <col min="4" max="4" width="11.77734375" customWidth="1"/>
    <col min="5" max="5" width="11.109375" customWidth="1"/>
    <col min="6" max="6" width="15.5546875" customWidth="1"/>
    <col min="15" max="15" width="14.77734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3">
      <c r="A2" t="s">
        <v>6</v>
      </c>
      <c r="B2" t="s">
        <v>7</v>
      </c>
      <c r="C2" t="s">
        <v>8</v>
      </c>
      <c r="D2" t="s">
        <v>9</v>
      </c>
      <c r="E2">
        <v>121000</v>
      </c>
      <c r="F2" s="1">
        <v>49041</v>
      </c>
    </row>
    <row r="3" spans="1:13">
      <c r="A3" t="s">
        <v>10</v>
      </c>
      <c r="B3" t="s">
        <v>7</v>
      </c>
      <c r="C3" t="s">
        <v>8</v>
      </c>
      <c r="D3" t="s">
        <v>11</v>
      </c>
      <c r="E3">
        <v>240150</v>
      </c>
      <c r="F3" s="1">
        <v>124470</v>
      </c>
      <c r="M3" s="1"/>
    </row>
    <row r="4" spans="1:13">
      <c r="A4" t="s">
        <v>12</v>
      </c>
      <c r="B4" t="s">
        <v>7</v>
      </c>
      <c r="C4" t="s">
        <v>8</v>
      </c>
      <c r="D4" t="s">
        <v>13</v>
      </c>
      <c r="E4">
        <v>30350.000000000004</v>
      </c>
      <c r="F4" s="1">
        <v>14386</v>
      </c>
      <c r="M4" s="1"/>
    </row>
    <row r="5" spans="1:13">
      <c r="A5" t="s">
        <v>14</v>
      </c>
      <c r="B5" t="s">
        <v>7</v>
      </c>
      <c r="C5" t="s">
        <v>8</v>
      </c>
      <c r="D5" t="s">
        <v>15</v>
      </c>
      <c r="E5">
        <v>52800</v>
      </c>
      <c r="F5" s="1">
        <v>27583</v>
      </c>
      <c r="M5" s="1"/>
    </row>
    <row r="6" spans="1:13">
      <c r="A6" t="s">
        <v>16</v>
      </c>
      <c r="B6" t="s">
        <v>7</v>
      </c>
      <c r="C6" t="s">
        <v>8</v>
      </c>
      <c r="D6" t="s">
        <v>17</v>
      </c>
      <c r="E6">
        <v>68500</v>
      </c>
      <c r="F6" s="1">
        <v>28448</v>
      </c>
      <c r="M6" s="1"/>
    </row>
    <row r="7" spans="1:13">
      <c r="A7" t="s">
        <v>18</v>
      </c>
      <c r="B7" t="s">
        <v>7</v>
      </c>
      <c r="C7" t="s">
        <v>8</v>
      </c>
      <c r="D7" t="s">
        <v>19</v>
      </c>
      <c r="E7">
        <v>52400.003600000004</v>
      </c>
      <c r="F7" s="1">
        <v>28354</v>
      </c>
      <c r="M7" s="1"/>
    </row>
    <row r="8" spans="1:13">
      <c r="A8" t="s">
        <v>20</v>
      </c>
      <c r="B8" t="s">
        <v>7</v>
      </c>
      <c r="C8" t="s">
        <v>8</v>
      </c>
      <c r="D8" t="s">
        <v>21</v>
      </c>
      <c r="E8">
        <v>148250.00036000001</v>
      </c>
      <c r="F8" s="1">
        <v>54141</v>
      </c>
      <c r="M8" s="1"/>
    </row>
    <row r="9" spans="1:13">
      <c r="A9" t="s">
        <v>22</v>
      </c>
      <c r="B9" t="s">
        <v>7</v>
      </c>
      <c r="C9" t="s">
        <v>8</v>
      </c>
      <c r="D9" t="s">
        <v>23</v>
      </c>
      <c r="E9">
        <v>51000</v>
      </c>
      <c r="F9" s="1">
        <v>23832</v>
      </c>
      <c r="M9" s="1"/>
    </row>
    <row r="10" spans="1:13">
      <c r="A10" t="s">
        <v>24</v>
      </c>
      <c r="B10" t="s">
        <v>7</v>
      </c>
      <c r="C10" t="s">
        <v>8</v>
      </c>
      <c r="D10" t="s">
        <v>25</v>
      </c>
      <c r="E10">
        <v>151500</v>
      </c>
      <c r="F10" s="1">
        <v>60342</v>
      </c>
      <c r="M10" s="1"/>
    </row>
    <row r="11" spans="1:13">
      <c r="A11" t="s">
        <v>26</v>
      </c>
      <c r="B11" t="s">
        <v>7</v>
      </c>
      <c r="C11" t="s">
        <v>8</v>
      </c>
      <c r="D11" t="s">
        <v>27</v>
      </c>
      <c r="E11">
        <v>51000</v>
      </c>
      <c r="F11" s="1">
        <v>23542</v>
      </c>
      <c r="M11" s="1"/>
    </row>
    <row r="12" spans="1:13">
      <c r="A12" t="s">
        <v>28</v>
      </c>
      <c r="B12" t="s">
        <v>7</v>
      </c>
      <c r="C12" t="s">
        <v>8</v>
      </c>
      <c r="D12" t="s">
        <v>29</v>
      </c>
      <c r="E12">
        <v>296000</v>
      </c>
      <c r="F12" s="1">
        <v>160965</v>
      </c>
    </row>
    <row r="13" spans="1:13">
      <c r="A13" t="s">
        <v>30</v>
      </c>
      <c r="B13" t="s">
        <v>7</v>
      </c>
      <c r="C13" t="s">
        <v>8</v>
      </c>
      <c r="D13" t="s">
        <v>31</v>
      </c>
      <c r="E13">
        <v>44900</v>
      </c>
      <c r="F13" s="1">
        <v>23397</v>
      </c>
    </row>
    <row r="14" spans="1:13">
      <c r="A14" t="s">
        <v>32</v>
      </c>
      <c r="B14" t="s">
        <v>7</v>
      </c>
      <c r="C14" t="s">
        <v>8</v>
      </c>
      <c r="D14" t="s">
        <v>33</v>
      </c>
      <c r="E14">
        <v>296000</v>
      </c>
      <c r="F14" s="1">
        <v>107093</v>
      </c>
    </row>
    <row r="15" spans="1:13">
      <c r="A15" t="s">
        <v>34</v>
      </c>
      <c r="B15" t="s">
        <v>7</v>
      </c>
      <c r="C15" t="s">
        <v>8</v>
      </c>
      <c r="D15" t="s">
        <v>35</v>
      </c>
      <c r="E15">
        <v>87000</v>
      </c>
      <c r="F15" s="1">
        <v>45501</v>
      </c>
    </row>
    <row r="16" spans="1:13">
      <c r="A16" t="s">
        <v>36</v>
      </c>
      <c r="B16" t="s">
        <v>7</v>
      </c>
      <c r="C16" t="s">
        <v>8</v>
      </c>
      <c r="D16" t="s">
        <v>37</v>
      </c>
      <c r="E16">
        <v>3728</v>
      </c>
      <c r="F16" s="1">
        <v>1625</v>
      </c>
    </row>
    <row r="17" spans="1:6">
      <c r="A17" t="s">
        <v>38</v>
      </c>
      <c r="B17" t="s">
        <v>39</v>
      </c>
      <c r="C17" t="s">
        <v>40</v>
      </c>
      <c r="D17" t="s">
        <v>41</v>
      </c>
      <c r="E17">
        <v>172000</v>
      </c>
      <c r="F17" s="1">
        <v>130686</v>
      </c>
    </row>
    <row r="18" spans="1:6">
      <c r="A18" t="s">
        <v>42</v>
      </c>
      <c r="B18" t="s">
        <v>39</v>
      </c>
      <c r="C18" t="s">
        <v>40</v>
      </c>
      <c r="D18" t="s">
        <v>43</v>
      </c>
      <c r="E18">
        <v>262000</v>
      </c>
      <c r="F18" s="1">
        <v>200351</v>
      </c>
    </row>
    <row r="19" spans="1:6">
      <c r="A19" t="s">
        <v>44</v>
      </c>
      <c r="B19" t="s">
        <v>39</v>
      </c>
      <c r="C19" t="s">
        <v>40</v>
      </c>
      <c r="D19" t="s">
        <v>45</v>
      </c>
      <c r="E19">
        <v>192000.00008000003</v>
      </c>
      <c r="F19" s="1">
        <v>148166</v>
      </c>
    </row>
    <row r="20" spans="1:6">
      <c r="A20" t="s">
        <v>46</v>
      </c>
      <c r="B20" t="s">
        <v>39</v>
      </c>
      <c r="C20" t="s">
        <v>40</v>
      </c>
      <c r="D20" t="s">
        <v>47</v>
      </c>
      <c r="E20">
        <v>177000</v>
      </c>
      <c r="F20" s="1">
        <v>140556</v>
      </c>
    </row>
    <row r="21" spans="1:6">
      <c r="A21" t="s">
        <v>48</v>
      </c>
      <c r="B21" t="s">
        <v>39</v>
      </c>
      <c r="C21" t="s">
        <v>40</v>
      </c>
      <c r="D21" t="s">
        <v>49</v>
      </c>
      <c r="E21">
        <v>272000</v>
      </c>
      <c r="F21" s="1">
        <v>215995</v>
      </c>
    </row>
    <row r="22" spans="1:6">
      <c r="A22" t="s">
        <v>50</v>
      </c>
      <c r="B22" t="s">
        <v>39</v>
      </c>
      <c r="C22" t="s">
        <v>40</v>
      </c>
      <c r="D22" t="s">
        <v>51</v>
      </c>
      <c r="E22">
        <v>452000.00036000006</v>
      </c>
      <c r="F22" s="1">
        <v>358707</v>
      </c>
    </row>
    <row r="23" spans="1:6">
      <c r="A23" t="s">
        <v>52</v>
      </c>
      <c r="B23" t="s">
        <v>39</v>
      </c>
      <c r="C23" t="s">
        <v>40</v>
      </c>
      <c r="D23" t="s">
        <v>53</v>
      </c>
      <c r="E23">
        <v>152000</v>
      </c>
      <c r="F23" s="1">
        <v>119654</v>
      </c>
    </row>
    <row r="24" spans="1:6">
      <c r="A24" t="s">
        <v>54</v>
      </c>
      <c r="B24" t="s">
        <v>39</v>
      </c>
      <c r="C24" t="s">
        <v>40</v>
      </c>
      <c r="D24" t="s">
        <v>55</v>
      </c>
      <c r="E24">
        <v>152000</v>
      </c>
      <c r="F24" s="1">
        <v>116645</v>
      </c>
    </row>
    <row r="25" spans="1:6">
      <c r="A25" t="s">
        <v>56</v>
      </c>
      <c r="B25" t="s">
        <v>39</v>
      </c>
      <c r="C25" t="s">
        <v>40</v>
      </c>
      <c r="D25" t="s">
        <v>57</v>
      </c>
      <c r="E25">
        <v>152000</v>
      </c>
      <c r="F25" s="1">
        <v>120627</v>
      </c>
    </row>
    <row r="26" spans="1:6">
      <c r="A26" t="s">
        <v>58</v>
      </c>
      <c r="B26" t="s">
        <v>39</v>
      </c>
      <c r="C26" t="s">
        <v>40</v>
      </c>
      <c r="D26" t="s">
        <v>59</v>
      </c>
      <c r="E26">
        <v>137000</v>
      </c>
      <c r="F26" s="1">
        <v>105408</v>
      </c>
    </row>
    <row r="27" spans="1:6">
      <c r="A27" t="s">
        <v>60</v>
      </c>
      <c r="B27" t="s">
        <v>39</v>
      </c>
      <c r="C27" t="s">
        <v>40</v>
      </c>
      <c r="D27" t="s">
        <v>61</v>
      </c>
      <c r="E27">
        <v>322000</v>
      </c>
      <c r="F27" s="1">
        <v>250806</v>
      </c>
    </row>
    <row r="28" spans="1:6">
      <c r="A28" t="s">
        <v>62</v>
      </c>
      <c r="B28" t="s">
        <v>39</v>
      </c>
      <c r="C28" t="s">
        <v>40</v>
      </c>
      <c r="D28" t="s">
        <v>63</v>
      </c>
      <c r="E28">
        <v>340000</v>
      </c>
      <c r="F28" s="1">
        <v>268294</v>
      </c>
    </row>
    <row r="29" spans="1:6">
      <c r="A29" t="s">
        <v>64</v>
      </c>
      <c r="B29" t="s">
        <v>39</v>
      </c>
      <c r="C29" t="s">
        <v>40</v>
      </c>
      <c r="D29" t="s">
        <v>65</v>
      </c>
      <c r="E29">
        <v>207000</v>
      </c>
      <c r="F29" s="1">
        <v>160570</v>
      </c>
    </row>
    <row r="30" spans="1:6">
      <c r="A30" t="s">
        <v>66</v>
      </c>
      <c r="B30" t="s">
        <v>39</v>
      </c>
      <c r="C30" t="s">
        <v>40</v>
      </c>
      <c r="D30" t="s">
        <v>67</v>
      </c>
      <c r="E30">
        <v>262000</v>
      </c>
      <c r="F30" s="1">
        <v>199932</v>
      </c>
    </row>
    <row r="31" spans="1:6">
      <c r="A31" t="s">
        <v>68</v>
      </c>
      <c r="B31" t="s">
        <v>39</v>
      </c>
      <c r="C31" t="s">
        <v>40</v>
      </c>
      <c r="D31" t="s">
        <v>69</v>
      </c>
      <c r="E31">
        <v>86000</v>
      </c>
      <c r="F31" s="1">
        <v>65566</v>
      </c>
    </row>
    <row r="32" spans="1:6">
      <c r="A32" t="s">
        <v>70</v>
      </c>
      <c r="B32" t="s">
        <v>39</v>
      </c>
      <c r="C32" t="s">
        <v>40</v>
      </c>
      <c r="D32" t="s">
        <v>71</v>
      </c>
      <c r="E32">
        <v>802000.00028000004</v>
      </c>
      <c r="F32" s="1">
        <v>634703</v>
      </c>
    </row>
    <row r="33" spans="1:6">
      <c r="A33" t="s">
        <v>72</v>
      </c>
      <c r="B33" t="s">
        <v>39</v>
      </c>
      <c r="C33" t="s">
        <v>40</v>
      </c>
      <c r="D33" t="s">
        <v>73</v>
      </c>
      <c r="E33">
        <v>281999.99972000002</v>
      </c>
      <c r="F33" s="1">
        <v>219904</v>
      </c>
    </row>
    <row r="34" spans="1:6">
      <c r="A34" t="s">
        <v>74</v>
      </c>
      <c r="B34" t="s">
        <v>39</v>
      </c>
      <c r="C34" t="s">
        <v>40</v>
      </c>
      <c r="D34" t="s">
        <v>75</v>
      </c>
      <c r="E34">
        <v>87000</v>
      </c>
      <c r="F34" s="1">
        <v>67886</v>
      </c>
    </row>
    <row r="35" spans="1:6">
      <c r="A35" t="s">
        <v>76</v>
      </c>
      <c r="B35" t="s">
        <v>39</v>
      </c>
      <c r="C35" t="s">
        <v>40</v>
      </c>
      <c r="D35" t="s">
        <v>77</v>
      </c>
      <c r="E35">
        <v>137000</v>
      </c>
      <c r="F35" s="1">
        <v>103887</v>
      </c>
    </row>
    <row r="36" spans="1:6">
      <c r="A36" t="s">
        <v>78</v>
      </c>
      <c r="B36" t="s">
        <v>39</v>
      </c>
      <c r="C36" t="s">
        <v>40</v>
      </c>
      <c r="D36" t="s">
        <v>79</v>
      </c>
      <c r="E36">
        <v>192000</v>
      </c>
      <c r="F36" s="1">
        <v>153005</v>
      </c>
    </row>
    <row r="37" spans="1:6">
      <c r="A37" t="s">
        <v>80</v>
      </c>
      <c r="B37" t="s">
        <v>39</v>
      </c>
      <c r="C37" t="s">
        <v>40</v>
      </c>
      <c r="D37" t="s">
        <v>81</v>
      </c>
      <c r="E37">
        <v>292000</v>
      </c>
      <c r="F37" s="1">
        <v>231206</v>
      </c>
    </row>
    <row r="38" spans="1:6">
      <c r="A38" t="s">
        <v>82</v>
      </c>
      <c r="B38" t="s">
        <v>39</v>
      </c>
      <c r="C38" t="s">
        <v>40</v>
      </c>
      <c r="D38" t="s">
        <v>83</v>
      </c>
      <c r="E38">
        <v>112000</v>
      </c>
      <c r="F38" s="1">
        <v>87864</v>
      </c>
    </row>
    <row r="39" spans="1:6">
      <c r="A39" t="s">
        <v>84</v>
      </c>
      <c r="B39" t="s">
        <v>39</v>
      </c>
      <c r="C39" t="s">
        <v>40</v>
      </c>
      <c r="D39" t="s">
        <v>85</v>
      </c>
      <c r="E39">
        <v>97000</v>
      </c>
      <c r="F39" s="1">
        <v>76329</v>
      </c>
    </row>
    <row r="40" spans="1:6">
      <c r="A40" t="s">
        <v>86</v>
      </c>
      <c r="B40" t="s">
        <v>39</v>
      </c>
      <c r="C40" t="s">
        <v>40</v>
      </c>
      <c r="D40" t="s">
        <v>87</v>
      </c>
      <c r="E40">
        <v>137000</v>
      </c>
      <c r="F40" s="1">
        <v>103764</v>
      </c>
    </row>
    <row r="41" spans="1:6">
      <c r="A41" t="s">
        <v>88</v>
      </c>
      <c r="B41" t="s">
        <v>39</v>
      </c>
      <c r="C41" t="s">
        <v>40</v>
      </c>
      <c r="D41" t="s">
        <v>89</v>
      </c>
      <c r="E41">
        <v>52400.000360000005</v>
      </c>
      <c r="F41" s="1">
        <v>41144</v>
      </c>
    </row>
    <row r="42" spans="1:6">
      <c r="A42" t="s">
        <v>90</v>
      </c>
      <c r="B42" t="s">
        <v>39</v>
      </c>
      <c r="C42" t="s">
        <v>40</v>
      </c>
      <c r="D42" t="s">
        <v>91</v>
      </c>
      <c r="E42">
        <v>147000</v>
      </c>
      <c r="F42" s="1">
        <v>110588</v>
      </c>
    </row>
    <row r="43" spans="1:6">
      <c r="A43" t="s">
        <v>92</v>
      </c>
      <c r="B43" t="s">
        <v>39</v>
      </c>
      <c r="C43" t="s">
        <v>40</v>
      </c>
      <c r="D43" t="s">
        <v>93</v>
      </c>
      <c r="E43">
        <v>326000</v>
      </c>
      <c r="F43" s="1">
        <v>256823</v>
      </c>
    </row>
    <row r="44" spans="1:6">
      <c r="A44" t="s">
        <v>94</v>
      </c>
      <c r="B44" t="s">
        <v>39</v>
      </c>
      <c r="C44" t="s">
        <v>40</v>
      </c>
      <c r="D44" t="s">
        <v>95</v>
      </c>
      <c r="E44">
        <v>177999.99679999999</v>
      </c>
      <c r="F44" s="1">
        <v>133660</v>
      </c>
    </row>
    <row r="45" spans="1:6">
      <c r="A45" t="s">
        <v>96</v>
      </c>
      <c r="B45" t="s">
        <v>39</v>
      </c>
      <c r="C45" t="s">
        <v>40</v>
      </c>
      <c r="D45" t="s">
        <v>97</v>
      </c>
      <c r="E45">
        <v>187000</v>
      </c>
      <c r="F45" s="1">
        <v>148927</v>
      </c>
    </row>
    <row r="46" spans="1:6">
      <c r="A46" t="s">
        <v>98</v>
      </c>
      <c r="B46" t="s">
        <v>39</v>
      </c>
      <c r="C46" t="s">
        <v>40</v>
      </c>
      <c r="D46" t="s">
        <v>99</v>
      </c>
      <c r="E46">
        <v>192000</v>
      </c>
      <c r="F46" s="1">
        <v>145075</v>
      </c>
    </row>
    <row r="47" spans="1:6">
      <c r="A47" t="s">
        <v>100</v>
      </c>
      <c r="B47" t="s">
        <v>39</v>
      </c>
      <c r="C47" t="s">
        <v>40</v>
      </c>
      <c r="D47" t="s">
        <v>101</v>
      </c>
      <c r="E47">
        <v>207000</v>
      </c>
      <c r="F47" s="1">
        <v>162040</v>
      </c>
    </row>
    <row r="48" spans="1:6">
      <c r="A48" t="s">
        <v>102</v>
      </c>
      <c r="B48" t="s">
        <v>39</v>
      </c>
      <c r="C48" t="s">
        <v>40</v>
      </c>
      <c r="D48" t="s">
        <v>103</v>
      </c>
      <c r="E48">
        <v>232000</v>
      </c>
      <c r="F48" s="1">
        <v>176645</v>
      </c>
    </row>
    <row r="49" spans="1:6">
      <c r="A49" t="s">
        <v>104</v>
      </c>
      <c r="B49" t="s">
        <v>39</v>
      </c>
      <c r="C49" t="s">
        <v>40</v>
      </c>
      <c r="D49" t="s">
        <v>105</v>
      </c>
      <c r="E49">
        <v>187000</v>
      </c>
      <c r="F49" s="1">
        <v>145692</v>
      </c>
    </row>
    <row r="50" spans="1:6">
      <c r="A50" t="s">
        <v>106</v>
      </c>
      <c r="B50" t="s">
        <v>39</v>
      </c>
      <c r="C50" t="s">
        <v>40</v>
      </c>
      <c r="D50" t="s">
        <v>107</v>
      </c>
      <c r="E50">
        <v>65250</v>
      </c>
      <c r="F50" s="1">
        <v>49662</v>
      </c>
    </row>
    <row r="51" spans="1:6">
      <c r="A51" t="s">
        <v>108</v>
      </c>
      <c r="B51" t="s">
        <v>39</v>
      </c>
      <c r="C51" t="s">
        <v>40</v>
      </c>
      <c r="D51" t="s">
        <v>109</v>
      </c>
      <c r="E51">
        <v>145999.9964</v>
      </c>
      <c r="F51" s="1">
        <v>115997</v>
      </c>
    </row>
    <row r="52" spans="1:6">
      <c r="A52" t="s">
        <v>111</v>
      </c>
      <c r="B52" t="s">
        <v>112</v>
      </c>
      <c r="C52" t="s">
        <v>110</v>
      </c>
      <c r="D52" t="s">
        <v>113</v>
      </c>
      <c r="E52">
        <v>37000</v>
      </c>
      <c r="F52" s="1">
        <f>0.45*Table2[[#This Row],[Giá bán lẻ]]</f>
        <v>16650</v>
      </c>
    </row>
    <row r="53" spans="1:6">
      <c r="A53" t="s">
        <v>114</v>
      </c>
      <c r="B53" t="s">
        <v>112</v>
      </c>
      <c r="C53" t="s">
        <v>110</v>
      </c>
      <c r="D53" t="s">
        <v>115</v>
      </c>
      <c r="E53">
        <v>37000</v>
      </c>
      <c r="F53" s="1">
        <f>0.45*Table2[[#This Row],[Giá bán lẻ]]</f>
        <v>16650</v>
      </c>
    </row>
    <row r="54" spans="1:6">
      <c r="A54" t="s">
        <v>116</v>
      </c>
      <c r="B54" t="s">
        <v>112</v>
      </c>
      <c r="C54" t="s">
        <v>110</v>
      </c>
      <c r="D54" t="s">
        <v>117</v>
      </c>
      <c r="E54">
        <v>67000</v>
      </c>
      <c r="F54" s="1">
        <f>0.45*Table2[[#This Row],[Giá bán lẻ]]</f>
        <v>30150</v>
      </c>
    </row>
    <row r="55" spans="1:6">
      <c r="A55" t="s">
        <v>118</v>
      </c>
      <c r="B55" t="s">
        <v>112</v>
      </c>
      <c r="C55" t="s">
        <v>110</v>
      </c>
      <c r="D55" t="s">
        <v>119</v>
      </c>
      <c r="E55">
        <v>42000</v>
      </c>
      <c r="F55" s="1">
        <f>0.45*Table2[[#This Row],[Giá bán lẻ]]</f>
        <v>18900</v>
      </c>
    </row>
    <row r="56" spans="1:6">
      <c r="A56" t="s">
        <v>121</v>
      </c>
      <c r="B56" t="s">
        <v>122</v>
      </c>
      <c r="C56" t="s">
        <v>120</v>
      </c>
      <c r="D56" t="s">
        <v>123</v>
      </c>
      <c r="E56">
        <v>554999.99996000004</v>
      </c>
      <c r="F56" s="1">
        <f>0.45*Table2[[#This Row],[Giá bán lẻ]]</f>
        <v>249749.99998200004</v>
      </c>
    </row>
    <row r="57" spans="1:6">
      <c r="A57" t="s">
        <v>124</v>
      </c>
      <c r="B57" t="s">
        <v>122</v>
      </c>
      <c r="C57" t="s">
        <v>120</v>
      </c>
      <c r="D57" t="s">
        <v>125</v>
      </c>
      <c r="E57">
        <v>652000</v>
      </c>
      <c r="F57" s="1">
        <f>0.45*Table2[[#This Row],[Giá bán lẻ]]</f>
        <v>293400</v>
      </c>
    </row>
    <row r="58" spans="1:6">
      <c r="A58" t="s">
        <v>126</v>
      </c>
      <c r="B58" t="s">
        <v>122</v>
      </c>
      <c r="C58" t="s">
        <v>120</v>
      </c>
      <c r="D58" t="s">
        <v>127</v>
      </c>
      <c r="E58">
        <v>1696000</v>
      </c>
      <c r="F58" s="1">
        <f>0.45*Table2[[#This Row],[Giá bán lẻ]]</f>
        <v>763200</v>
      </c>
    </row>
    <row r="59" spans="1:6">
      <c r="A59" t="s">
        <v>128</v>
      </c>
      <c r="B59" t="s">
        <v>122</v>
      </c>
      <c r="C59" t="s">
        <v>120</v>
      </c>
      <c r="D59" t="s">
        <v>129</v>
      </c>
      <c r="E59">
        <v>1696000</v>
      </c>
      <c r="F59" s="1">
        <f>0.45*Table2[[#This Row],[Giá bán lẻ]]</f>
        <v>763200</v>
      </c>
    </row>
    <row r="60" spans="1:6">
      <c r="A60" t="s">
        <v>130</v>
      </c>
      <c r="B60" t="s">
        <v>122</v>
      </c>
      <c r="C60" t="s">
        <v>120</v>
      </c>
      <c r="D60" t="s">
        <v>131</v>
      </c>
      <c r="E60">
        <v>13000</v>
      </c>
      <c r="F60" s="1">
        <f>0.45*Table2[[#This Row],[Giá bán lẻ]]</f>
        <v>5850</v>
      </c>
    </row>
    <row r="61" spans="1:6">
      <c r="A61" t="s">
        <v>132</v>
      </c>
      <c r="B61" t="s">
        <v>122</v>
      </c>
      <c r="C61" t="s">
        <v>120</v>
      </c>
      <c r="D61" t="s">
        <v>133</v>
      </c>
      <c r="E61">
        <v>1696000.0005200002</v>
      </c>
      <c r="F61" s="1">
        <f>0.45*Table2[[#This Row],[Giá bán lẻ]]</f>
        <v>763200.00023400015</v>
      </c>
    </row>
    <row r="62" spans="1:6">
      <c r="A62" t="s">
        <v>134</v>
      </c>
      <c r="B62" t="s">
        <v>122</v>
      </c>
      <c r="C62" t="s">
        <v>120</v>
      </c>
      <c r="D62" t="s">
        <v>135</v>
      </c>
      <c r="E62">
        <v>1802000.36</v>
      </c>
      <c r="F62" s="1">
        <f>0.45*Table2[[#This Row],[Giá bán lẻ]]</f>
        <v>810900.16200000001</v>
      </c>
    </row>
    <row r="63" spans="1:6">
      <c r="A63" t="s">
        <v>136</v>
      </c>
      <c r="B63" t="s">
        <v>122</v>
      </c>
      <c r="C63" t="s">
        <v>120</v>
      </c>
      <c r="D63" t="s">
        <v>137</v>
      </c>
      <c r="E63">
        <v>792000</v>
      </c>
      <c r="F63" s="1">
        <f>0.45*Table2[[#This Row],[Giá bán lẻ]]</f>
        <v>356400</v>
      </c>
    </row>
    <row r="64" spans="1:6">
      <c r="A64" t="s">
        <v>139</v>
      </c>
      <c r="B64" t="s">
        <v>112</v>
      </c>
      <c r="C64" t="s">
        <v>138</v>
      </c>
      <c r="D64" t="s">
        <v>140</v>
      </c>
      <c r="E64">
        <v>47000</v>
      </c>
      <c r="F64" s="1">
        <f>0.45*Table2[[#This Row],[Giá bán lẻ]]</f>
        <v>21150</v>
      </c>
    </row>
    <row r="65" spans="1:6">
      <c r="A65" t="s">
        <v>141</v>
      </c>
      <c r="B65" t="s">
        <v>112</v>
      </c>
      <c r="C65" t="s">
        <v>138</v>
      </c>
      <c r="D65" t="s">
        <v>142</v>
      </c>
      <c r="E65">
        <v>47000</v>
      </c>
      <c r="F65" s="1">
        <f>0.45*Table2[[#This Row],[Giá bán lẻ]]</f>
        <v>21150</v>
      </c>
    </row>
    <row r="66" spans="1:6">
      <c r="A66" t="s">
        <v>143</v>
      </c>
      <c r="B66" t="s">
        <v>112</v>
      </c>
      <c r="C66" t="s">
        <v>138</v>
      </c>
      <c r="D66" t="s">
        <v>144</v>
      </c>
      <c r="E66">
        <v>47000</v>
      </c>
      <c r="F66" s="1">
        <f>0.45*Table2[[#This Row],[Giá bán lẻ]]</f>
        <v>21150</v>
      </c>
    </row>
    <row r="67" spans="1:6">
      <c r="A67" t="s">
        <v>145</v>
      </c>
      <c r="B67" t="s">
        <v>112</v>
      </c>
      <c r="C67" t="s">
        <v>138</v>
      </c>
      <c r="D67" t="s">
        <v>146</v>
      </c>
      <c r="E67">
        <v>47000</v>
      </c>
      <c r="F67" s="1">
        <f>0.45*Table2[[#This Row],[Giá bán lẻ]]</f>
        <v>21150</v>
      </c>
    </row>
    <row r="68" spans="1:6">
      <c r="A68" t="s">
        <v>147</v>
      </c>
      <c r="B68" t="s">
        <v>112</v>
      </c>
      <c r="C68" t="s">
        <v>138</v>
      </c>
      <c r="D68" t="s">
        <v>148</v>
      </c>
      <c r="E68">
        <v>47000</v>
      </c>
      <c r="F68" s="1">
        <f>0.45*Table2[[#This Row],[Giá bán lẻ]]</f>
        <v>21150</v>
      </c>
    </row>
    <row r="69" spans="1:6">
      <c r="A69" t="s">
        <v>149</v>
      </c>
      <c r="B69" t="s">
        <v>112</v>
      </c>
      <c r="C69" t="s">
        <v>138</v>
      </c>
      <c r="D69" t="s">
        <v>150</v>
      </c>
      <c r="E69">
        <v>42000</v>
      </c>
      <c r="F69" s="1">
        <f>0.45*Table2[[#This Row],[Giá bán lẻ]]</f>
        <v>18900</v>
      </c>
    </row>
    <row r="70" spans="1:6">
      <c r="A70" t="s">
        <v>151</v>
      </c>
      <c r="B70" t="s">
        <v>112</v>
      </c>
      <c r="C70" t="s">
        <v>138</v>
      </c>
      <c r="D70" t="s">
        <v>152</v>
      </c>
      <c r="E70">
        <v>47000</v>
      </c>
      <c r="F70" s="1">
        <f>0.45*Table2[[#This Row],[Giá bán lẻ]]</f>
        <v>21150</v>
      </c>
    </row>
    <row r="71" spans="1:6">
      <c r="A71" t="s">
        <v>153</v>
      </c>
      <c r="B71" t="s">
        <v>112</v>
      </c>
      <c r="C71" t="s">
        <v>138</v>
      </c>
      <c r="D71" t="s">
        <v>154</v>
      </c>
      <c r="E71">
        <v>47000</v>
      </c>
      <c r="F71" s="1">
        <f>0.45*Table2[[#This Row],[Giá bán lẻ]]</f>
        <v>21150</v>
      </c>
    </row>
    <row r="72" spans="1:6">
      <c r="A72" t="s">
        <v>155</v>
      </c>
      <c r="B72" t="s">
        <v>112</v>
      </c>
      <c r="C72" t="s">
        <v>138</v>
      </c>
      <c r="D72" t="s">
        <v>156</v>
      </c>
      <c r="E72">
        <v>47000</v>
      </c>
      <c r="F72" s="1">
        <f>0.45*Table2[[#This Row],[Giá bán lẻ]]</f>
        <v>21150</v>
      </c>
    </row>
    <row r="73" spans="1:6">
      <c r="A73" t="s">
        <v>157</v>
      </c>
      <c r="B73" t="s">
        <v>112</v>
      </c>
      <c r="C73" t="s">
        <v>138</v>
      </c>
      <c r="D73" t="s">
        <v>158</v>
      </c>
      <c r="E73">
        <v>32000</v>
      </c>
      <c r="F73" s="1">
        <f>0.45*Table2[[#This Row],[Giá bán lẻ]]</f>
        <v>14400</v>
      </c>
    </row>
    <row r="74" spans="1:6">
      <c r="A74" t="s">
        <v>159</v>
      </c>
      <c r="B74" t="s">
        <v>112</v>
      </c>
      <c r="C74" t="s">
        <v>138</v>
      </c>
      <c r="D74" t="s">
        <v>160</v>
      </c>
      <c r="E74">
        <v>32000</v>
      </c>
      <c r="F74" s="1">
        <f>0.45*Table2[[#This Row],[Giá bán lẻ]]</f>
        <v>14400</v>
      </c>
    </row>
    <row r="75" spans="1:6">
      <c r="A75" t="s">
        <v>161</v>
      </c>
      <c r="B75" t="s">
        <v>112</v>
      </c>
      <c r="C75" t="s">
        <v>138</v>
      </c>
      <c r="D75" t="s">
        <v>162</v>
      </c>
      <c r="E75">
        <v>42000</v>
      </c>
      <c r="F75" s="1">
        <f>0.45*Table2[[#This Row],[Giá bán lẻ]]</f>
        <v>18900</v>
      </c>
    </row>
    <row r="76" spans="1:6">
      <c r="A76" t="s">
        <v>163</v>
      </c>
      <c r="B76" t="s">
        <v>112</v>
      </c>
      <c r="C76" t="s">
        <v>138</v>
      </c>
      <c r="D76" t="s">
        <v>164</v>
      </c>
      <c r="E76">
        <v>52000</v>
      </c>
      <c r="F76" s="1">
        <f>0.45*Table2[[#This Row],[Giá bán lẻ]]</f>
        <v>23400</v>
      </c>
    </row>
    <row r="77" spans="1:6">
      <c r="A77" t="s">
        <v>165</v>
      </c>
      <c r="B77" t="s">
        <v>112</v>
      </c>
      <c r="C77" t="s">
        <v>138</v>
      </c>
      <c r="D77" t="s">
        <v>166</v>
      </c>
      <c r="E77">
        <v>42000</v>
      </c>
      <c r="F77" s="1">
        <f>0.45*Table2[[#This Row],[Giá bán lẻ]]</f>
        <v>18900</v>
      </c>
    </row>
    <row r="78" spans="1:6">
      <c r="A78" t="s">
        <v>167</v>
      </c>
      <c r="B78" t="s">
        <v>112</v>
      </c>
      <c r="C78" t="s">
        <v>138</v>
      </c>
      <c r="D78" t="s">
        <v>168</v>
      </c>
      <c r="E78">
        <v>52000</v>
      </c>
      <c r="F78" s="1">
        <f>0.45*Table2[[#This Row],[Giá bán lẻ]]</f>
        <v>23400</v>
      </c>
    </row>
    <row r="79" spans="1:6">
      <c r="A79" t="s">
        <v>169</v>
      </c>
      <c r="B79" t="s">
        <v>112</v>
      </c>
      <c r="C79" t="s">
        <v>138</v>
      </c>
      <c r="D79" t="s">
        <v>170</v>
      </c>
      <c r="E79">
        <v>52000</v>
      </c>
      <c r="F79" s="1">
        <f>0.45*Table2[[#This Row],[Giá bán lẻ]]</f>
        <v>23400</v>
      </c>
    </row>
    <row r="80" spans="1:6">
      <c r="A80" t="s">
        <v>171</v>
      </c>
      <c r="B80" t="s">
        <v>112</v>
      </c>
      <c r="C80" t="s">
        <v>138</v>
      </c>
      <c r="D80" t="s">
        <v>172</v>
      </c>
      <c r="E80">
        <v>42000</v>
      </c>
      <c r="F80" s="1">
        <f>0.45*Table2[[#This Row],[Giá bán lẻ]]</f>
        <v>18900</v>
      </c>
    </row>
    <row r="81" spans="1:6">
      <c r="A81" t="s">
        <v>173</v>
      </c>
      <c r="B81" t="s">
        <v>112</v>
      </c>
      <c r="C81" t="s">
        <v>138</v>
      </c>
      <c r="D81" t="s">
        <v>174</v>
      </c>
      <c r="E81">
        <v>42000</v>
      </c>
      <c r="F81" s="1">
        <f>0.45*Table2[[#This Row],[Giá bán lẻ]]</f>
        <v>18900</v>
      </c>
    </row>
    <row r="82" spans="1:6">
      <c r="A82" t="s">
        <v>175</v>
      </c>
      <c r="B82" t="s">
        <v>112</v>
      </c>
      <c r="C82" t="s">
        <v>138</v>
      </c>
      <c r="D82" t="s">
        <v>176</v>
      </c>
      <c r="E82">
        <v>37000</v>
      </c>
      <c r="F82" s="1">
        <f>0.45*Table2[[#This Row],[Giá bán lẻ]]</f>
        <v>16650</v>
      </c>
    </row>
    <row r="83" spans="1:6">
      <c r="A83" t="s">
        <v>177</v>
      </c>
      <c r="B83" t="s">
        <v>112</v>
      </c>
      <c r="C83" t="s">
        <v>138</v>
      </c>
      <c r="D83" t="s">
        <v>178</v>
      </c>
      <c r="E83">
        <v>37000</v>
      </c>
      <c r="F83" s="1">
        <f>0.45*Table2[[#This Row],[Giá bán lẻ]]</f>
        <v>16650</v>
      </c>
    </row>
    <row r="84" spans="1:6">
      <c r="A84" t="s">
        <v>179</v>
      </c>
      <c r="B84" t="s">
        <v>112</v>
      </c>
      <c r="C84" t="s">
        <v>138</v>
      </c>
      <c r="D84" t="s">
        <v>180</v>
      </c>
      <c r="E84">
        <v>47000</v>
      </c>
      <c r="F84" s="1">
        <f>0.45*Table2[[#This Row],[Giá bán lẻ]]</f>
        <v>21150</v>
      </c>
    </row>
    <row r="85" spans="1:6">
      <c r="A85" t="s">
        <v>181</v>
      </c>
      <c r="B85" t="s">
        <v>112</v>
      </c>
      <c r="C85" t="s">
        <v>138</v>
      </c>
      <c r="D85" t="s">
        <v>182</v>
      </c>
      <c r="E85">
        <v>42000</v>
      </c>
      <c r="F85" s="1">
        <f>0.45*Table2[[#This Row],[Giá bán lẻ]]</f>
        <v>18900</v>
      </c>
    </row>
    <row r="86" spans="1:6">
      <c r="A86" t="s">
        <v>183</v>
      </c>
      <c r="B86" t="s">
        <v>112</v>
      </c>
      <c r="C86" t="s">
        <v>138</v>
      </c>
      <c r="D86" t="s">
        <v>184</v>
      </c>
      <c r="E86">
        <v>42000</v>
      </c>
      <c r="F86" s="1">
        <f>0.45*Table2[[#This Row],[Giá bán lẻ]]</f>
        <v>18900</v>
      </c>
    </row>
    <row r="87" spans="1:6">
      <c r="A87" t="s">
        <v>185</v>
      </c>
      <c r="B87" t="s">
        <v>112</v>
      </c>
      <c r="C87" t="s">
        <v>138</v>
      </c>
      <c r="D87" t="s">
        <v>186</v>
      </c>
      <c r="E87">
        <v>32000</v>
      </c>
      <c r="F87" s="1">
        <f>0.45*Table2[[#This Row],[Giá bán lẻ]]</f>
        <v>14400</v>
      </c>
    </row>
    <row r="88" spans="1:6">
      <c r="A88" t="s">
        <v>187</v>
      </c>
      <c r="B88" t="s">
        <v>112</v>
      </c>
      <c r="C88" t="s">
        <v>138</v>
      </c>
      <c r="D88" t="s">
        <v>188</v>
      </c>
      <c r="E88">
        <v>52000</v>
      </c>
      <c r="F88" s="1">
        <f>0.45*Table2[[#This Row],[Giá bán lẻ]]</f>
        <v>23400</v>
      </c>
    </row>
    <row r="89" spans="1:6">
      <c r="A89" t="s">
        <v>189</v>
      </c>
      <c r="B89" t="s">
        <v>112</v>
      </c>
      <c r="C89" t="s">
        <v>138</v>
      </c>
      <c r="D89" t="s">
        <v>190</v>
      </c>
      <c r="E89">
        <v>37000</v>
      </c>
      <c r="F89" s="1">
        <f>0.45*Table2[[#This Row],[Giá bán lẻ]]</f>
        <v>16650</v>
      </c>
    </row>
    <row r="90" spans="1:6">
      <c r="A90" t="s">
        <v>191</v>
      </c>
      <c r="B90" t="s">
        <v>112</v>
      </c>
      <c r="C90" t="s">
        <v>138</v>
      </c>
      <c r="D90" t="s">
        <v>192</v>
      </c>
      <c r="E90">
        <v>47000</v>
      </c>
      <c r="F90" s="1">
        <f>0.45*Table2[[#This Row],[Giá bán lẻ]]</f>
        <v>21150</v>
      </c>
    </row>
    <row r="91" spans="1:6">
      <c r="A91" t="s">
        <v>193</v>
      </c>
      <c r="B91" t="s">
        <v>112</v>
      </c>
      <c r="C91" t="s">
        <v>138</v>
      </c>
      <c r="D91" t="s">
        <v>194</v>
      </c>
      <c r="E91">
        <v>37000</v>
      </c>
      <c r="F91" s="1">
        <f>0.45*Table2[[#This Row],[Giá bán lẻ]]</f>
        <v>16650</v>
      </c>
    </row>
    <row r="92" spans="1:6">
      <c r="A92" t="s">
        <v>195</v>
      </c>
      <c r="B92" t="s">
        <v>112</v>
      </c>
      <c r="C92" t="s">
        <v>138</v>
      </c>
      <c r="D92" t="s">
        <v>196</v>
      </c>
      <c r="E92">
        <v>47000</v>
      </c>
      <c r="F92" s="1">
        <f>0.45*Table2[[#This Row],[Giá bán lẻ]]</f>
        <v>21150</v>
      </c>
    </row>
    <row r="93" spans="1:6">
      <c r="A93" t="s">
        <v>197</v>
      </c>
      <c r="B93" t="s">
        <v>112</v>
      </c>
      <c r="C93" t="s">
        <v>138</v>
      </c>
      <c r="D93" t="s">
        <v>198</v>
      </c>
      <c r="E93">
        <v>42000</v>
      </c>
      <c r="F93" s="1">
        <f>0.45*Table2[[#This Row],[Giá bán lẻ]]</f>
        <v>18900</v>
      </c>
    </row>
    <row r="94" spans="1:6">
      <c r="A94" t="s">
        <v>199</v>
      </c>
      <c r="B94" t="s">
        <v>112</v>
      </c>
      <c r="C94" t="s">
        <v>138</v>
      </c>
      <c r="D94" t="s">
        <v>200</v>
      </c>
      <c r="E94">
        <v>32000</v>
      </c>
      <c r="F94" s="1">
        <f>0.45*Table2[[#This Row],[Giá bán lẻ]]</f>
        <v>14400</v>
      </c>
    </row>
    <row r="95" spans="1:6">
      <c r="A95" t="s">
        <v>201</v>
      </c>
      <c r="B95" t="s">
        <v>112</v>
      </c>
      <c r="C95" t="s">
        <v>138</v>
      </c>
      <c r="D95" t="s">
        <v>202</v>
      </c>
      <c r="E95">
        <v>42000</v>
      </c>
      <c r="F95" s="1">
        <f>0.45*Table2[[#This Row],[Giá bán lẻ]]</f>
        <v>18900</v>
      </c>
    </row>
    <row r="96" spans="1:6">
      <c r="A96" t="s">
        <v>203</v>
      </c>
      <c r="B96" t="s">
        <v>112</v>
      </c>
      <c r="C96" t="s">
        <v>138</v>
      </c>
      <c r="D96" t="s">
        <v>204</v>
      </c>
      <c r="E96">
        <v>42000</v>
      </c>
      <c r="F96" s="1">
        <f>0.45*Table2[[#This Row],[Giá bán lẻ]]</f>
        <v>18900</v>
      </c>
    </row>
    <row r="97" spans="1:6">
      <c r="A97" t="s">
        <v>205</v>
      </c>
      <c r="B97" t="s">
        <v>112</v>
      </c>
      <c r="C97" t="s">
        <v>138</v>
      </c>
      <c r="D97" t="s">
        <v>206</v>
      </c>
      <c r="E97">
        <v>42000</v>
      </c>
      <c r="F97" s="1">
        <f>0.45*Table2[[#This Row],[Giá bán lẻ]]</f>
        <v>18900</v>
      </c>
    </row>
    <row r="98" spans="1:6">
      <c r="A98" t="s">
        <v>207</v>
      </c>
      <c r="B98" t="s">
        <v>112</v>
      </c>
      <c r="C98" t="s">
        <v>138</v>
      </c>
      <c r="D98" t="s">
        <v>208</v>
      </c>
      <c r="E98">
        <v>42000</v>
      </c>
      <c r="F98" s="1">
        <f>0.45*Table2[[#This Row],[Giá bán lẻ]]</f>
        <v>18900</v>
      </c>
    </row>
    <row r="99" spans="1:6">
      <c r="A99" t="s">
        <v>210</v>
      </c>
      <c r="B99" t="s">
        <v>112</v>
      </c>
      <c r="C99" t="s">
        <v>209</v>
      </c>
      <c r="D99" t="s">
        <v>211</v>
      </c>
      <c r="E99">
        <v>42000</v>
      </c>
      <c r="F99" s="1">
        <f>0.45*Table2[[#This Row],[Giá bán lẻ]]</f>
        <v>18900</v>
      </c>
    </row>
    <row r="100" spans="1:6">
      <c r="A100" t="s">
        <v>212</v>
      </c>
      <c r="B100" t="s">
        <v>112</v>
      </c>
      <c r="C100" t="s">
        <v>209</v>
      </c>
      <c r="D100" t="s">
        <v>213</v>
      </c>
      <c r="E100">
        <v>42000</v>
      </c>
      <c r="F100" s="1">
        <f>0.45*Table2[[#This Row],[Giá bán lẻ]]</f>
        <v>18900</v>
      </c>
    </row>
    <row r="101" spans="1:6">
      <c r="A101" t="s">
        <v>214</v>
      </c>
      <c r="B101" t="s">
        <v>112</v>
      </c>
      <c r="C101" t="s">
        <v>209</v>
      </c>
      <c r="D101" t="s">
        <v>215</v>
      </c>
      <c r="E101">
        <v>42000</v>
      </c>
      <c r="F101" s="1">
        <f>0.45*Table2[[#This Row],[Giá bán lẻ]]</f>
        <v>18900</v>
      </c>
    </row>
    <row r="102" spans="1:6">
      <c r="A102" t="s">
        <v>216</v>
      </c>
      <c r="B102" t="s">
        <v>112</v>
      </c>
      <c r="C102" t="s">
        <v>209</v>
      </c>
      <c r="D102" t="s">
        <v>217</v>
      </c>
      <c r="E102">
        <v>42000</v>
      </c>
      <c r="F102" s="1">
        <f>0.45*Table2[[#This Row],[Giá bán lẻ]]</f>
        <v>18900</v>
      </c>
    </row>
    <row r="103" spans="1:6">
      <c r="A103" t="s">
        <v>219</v>
      </c>
      <c r="B103" t="s">
        <v>112</v>
      </c>
      <c r="C103" t="s">
        <v>218</v>
      </c>
      <c r="D103" t="s">
        <v>220</v>
      </c>
      <c r="E103">
        <v>27000</v>
      </c>
      <c r="F103" s="1">
        <f>0.45*Table2[[#This Row],[Giá bán lẻ]]</f>
        <v>12150</v>
      </c>
    </row>
    <row r="104" spans="1:6">
      <c r="A104" t="s">
        <v>221</v>
      </c>
      <c r="B104" t="s">
        <v>112</v>
      </c>
      <c r="C104" t="s">
        <v>218</v>
      </c>
      <c r="D104" t="s">
        <v>222</v>
      </c>
      <c r="E104">
        <v>21000</v>
      </c>
      <c r="F104" s="1">
        <f>0.45*Table2[[#This Row],[Giá bán lẻ]]</f>
        <v>9450</v>
      </c>
    </row>
    <row r="105" spans="1:6">
      <c r="A105" t="s">
        <v>223</v>
      </c>
      <c r="B105" t="s">
        <v>112</v>
      </c>
      <c r="C105" t="s">
        <v>218</v>
      </c>
      <c r="D105" t="s">
        <v>224</v>
      </c>
      <c r="E105">
        <v>22000</v>
      </c>
      <c r="F105" s="1">
        <f>0.45*Table2[[#This Row],[Giá bán lẻ]]</f>
        <v>9900</v>
      </c>
    </row>
    <row r="106" spans="1:6">
      <c r="A106" t="s">
        <v>225</v>
      </c>
      <c r="B106" t="s">
        <v>112</v>
      </c>
      <c r="C106" t="s">
        <v>218</v>
      </c>
      <c r="D106" t="s">
        <v>226</v>
      </c>
      <c r="E106">
        <v>17000</v>
      </c>
      <c r="F106" s="1">
        <f>0.45*Table2[[#This Row],[Giá bán lẻ]]</f>
        <v>7650</v>
      </c>
    </row>
    <row r="107" spans="1:6">
      <c r="A107" t="s">
        <v>227</v>
      </c>
      <c r="B107" t="s">
        <v>112</v>
      </c>
      <c r="C107" t="s">
        <v>218</v>
      </c>
      <c r="D107" t="s">
        <v>228</v>
      </c>
      <c r="E107">
        <v>32000</v>
      </c>
      <c r="F107" s="1">
        <f>0.45*Table2[[#This Row],[Giá bán lẻ]]</f>
        <v>14400</v>
      </c>
    </row>
    <row r="108" spans="1:6">
      <c r="A108" t="s">
        <v>229</v>
      </c>
      <c r="B108" t="s">
        <v>112</v>
      </c>
      <c r="C108" t="s">
        <v>218</v>
      </c>
      <c r="D108" t="s">
        <v>230</v>
      </c>
      <c r="E108">
        <v>42000</v>
      </c>
      <c r="F108" s="1">
        <f>0.45*Table2[[#This Row],[Giá bán lẻ]]</f>
        <v>18900</v>
      </c>
    </row>
    <row r="109" spans="1:6">
      <c r="A109" t="s">
        <v>231</v>
      </c>
      <c r="B109" t="s">
        <v>7</v>
      </c>
      <c r="C109" t="s">
        <v>8</v>
      </c>
      <c r="D109" t="s">
        <v>232</v>
      </c>
      <c r="E109">
        <v>69194.619200000001</v>
      </c>
      <c r="F109" s="1">
        <v>34466</v>
      </c>
    </row>
    <row r="110" spans="1:6">
      <c r="A110" t="s">
        <v>233</v>
      </c>
      <c r="B110" t="s">
        <v>7</v>
      </c>
      <c r="C110" t="s">
        <v>8</v>
      </c>
      <c r="D110" t="s">
        <v>234</v>
      </c>
      <c r="E110">
        <v>47000</v>
      </c>
      <c r="F110" s="1">
        <v>20168</v>
      </c>
    </row>
    <row r="111" spans="1:6">
      <c r="A111" t="s">
        <v>235</v>
      </c>
      <c r="B111" t="s">
        <v>7</v>
      </c>
      <c r="C111" t="s">
        <v>8</v>
      </c>
      <c r="D111" t="s">
        <v>236</v>
      </c>
      <c r="E111">
        <v>152150</v>
      </c>
      <c r="F111" s="1">
        <v>79240</v>
      </c>
    </row>
    <row r="112" spans="1:6">
      <c r="A112" t="s">
        <v>237</v>
      </c>
      <c r="B112" t="s">
        <v>7</v>
      </c>
      <c r="C112" t="s">
        <v>8</v>
      </c>
      <c r="D112" t="s">
        <v>238</v>
      </c>
      <c r="E112">
        <v>331000</v>
      </c>
      <c r="F112" s="1">
        <v>143191</v>
      </c>
    </row>
    <row r="113" spans="1:6">
      <c r="A113" t="s">
        <v>239</v>
      </c>
      <c r="B113" t="s">
        <v>7</v>
      </c>
      <c r="C113" t="s">
        <v>8</v>
      </c>
      <c r="D113" t="s">
        <v>240</v>
      </c>
      <c r="E113">
        <v>51000</v>
      </c>
      <c r="F113" s="1">
        <v>21038</v>
      </c>
    </row>
    <row r="114" spans="1:6">
      <c r="A114" t="s">
        <v>241</v>
      </c>
      <c r="B114" t="s">
        <v>7</v>
      </c>
      <c r="C114" t="s">
        <v>8</v>
      </c>
      <c r="D114" t="s">
        <v>242</v>
      </c>
      <c r="E114">
        <v>51000</v>
      </c>
      <c r="F114" s="1">
        <v>24475</v>
      </c>
    </row>
    <row r="115" spans="1:6">
      <c r="A115" t="s">
        <v>243</v>
      </c>
      <c r="B115" t="s">
        <v>7</v>
      </c>
      <c r="C115" t="s">
        <v>8</v>
      </c>
      <c r="D115" t="s">
        <v>244</v>
      </c>
      <c r="E115">
        <v>51499.999640000002</v>
      </c>
      <c r="F115" s="1">
        <f>0.45*Table2[[#This Row],[Giá bán lẻ]]</f>
        <v>23174.999838</v>
      </c>
    </row>
    <row r="116" spans="1:6">
      <c r="A116" t="s">
        <v>245</v>
      </c>
      <c r="B116" t="s">
        <v>7</v>
      </c>
      <c r="C116" t="s">
        <v>8</v>
      </c>
      <c r="D116" t="s">
        <v>246</v>
      </c>
      <c r="E116">
        <v>92528.446880000003</v>
      </c>
      <c r="F116" s="1">
        <v>49567</v>
      </c>
    </row>
    <row r="117" spans="1:6">
      <c r="A117" t="s">
        <v>247</v>
      </c>
      <c r="B117" t="s">
        <v>7</v>
      </c>
      <c r="C117" t="s">
        <v>8</v>
      </c>
      <c r="D117" t="s">
        <v>248</v>
      </c>
      <c r="E117">
        <v>421044.92480000004</v>
      </c>
      <c r="F117" s="1">
        <v>203280</v>
      </c>
    </row>
    <row r="118" spans="1:6">
      <c r="A118" t="s">
        <v>249</v>
      </c>
      <c r="B118" t="s">
        <v>7</v>
      </c>
      <c r="C118" t="s">
        <v>8</v>
      </c>
      <c r="D118" t="s">
        <v>250</v>
      </c>
      <c r="E118">
        <v>16941.588320000003</v>
      </c>
      <c r="F118" s="1">
        <v>9004</v>
      </c>
    </row>
    <row r="119" spans="1:6">
      <c r="A119" t="s">
        <v>251</v>
      </c>
      <c r="B119" t="s">
        <v>7</v>
      </c>
      <c r="C119" t="s">
        <v>8</v>
      </c>
      <c r="D119" t="s">
        <v>252</v>
      </c>
      <c r="E119">
        <v>31486.246400000004</v>
      </c>
      <c r="F119" s="1">
        <v>13473</v>
      </c>
    </row>
    <row r="120" spans="1:6">
      <c r="A120" t="s">
        <v>253</v>
      </c>
      <c r="B120" t="s">
        <v>7</v>
      </c>
      <c r="C120" t="s">
        <v>8</v>
      </c>
      <c r="D120" t="s">
        <v>254</v>
      </c>
      <c r="E120">
        <v>47000</v>
      </c>
      <c r="F120" s="1">
        <v>25013</v>
      </c>
    </row>
    <row r="121" spans="1:6">
      <c r="A121" t="s">
        <v>255</v>
      </c>
      <c r="B121" t="s">
        <v>7</v>
      </c>
      <c r="C121" t="s">
        <v>8</v>
      </c>
      <c r="D121" t="s">
        <v>256</v>
      </c>
      <c r="E121">
        <v>47000</v>
      </c>
      <c r="F121" s="1">
        <v>16911</v>
      </c>
    </row>
    <row r="122" spans="1:6">
      <c r="A122" t="s">
        <v>257</v>
      </c>
      <c r="B122" t="s">
        <v>7</v>
      </c>
      <c r="C122" t="s">
        <v>8</v>
      </c>
      <c r="D122" t="s">
        <v>258</v>
      </c>
      <c r="E122">
        <v>4186.1360000000004</v>
      </c>
      <c r="F122" s="1">
        <v>1767</v>
      </c>
    </row>
    <row r="123" spans="1:6">
      <c r="A123" t="s">
        <v>259</v>
      </c>
      <c r="B123" t="s">
        <v>7</v>
      </c>
      <c r="C123" t="s">
        <v>8</v>
      </c>
      <c r="D123" t="s">
        <v>260</v>
      </c>
      <c r="E123">
        <v>520000</v>
      </c>
      <c r="F123" s="1">
        <v>220000</v>
      </c>
    </row>
    <row r="124" spans="1:6">
      <c r="A124" t="s">
        <v>261</v>
      </c>
      <c r="B124" t="s">
        <v>7</v>
      </c>
      <c r="C124" t="s">
        <v>8</v>
      </c>
      <c r="D124" t="s">
        <v>262</v>
      </c>
      <c r="E124">
        <v>52124.983760000003</v>
      </c>
      <c r="F124" s="1">
        <v>27975</v>
      </c>
    </row>
    <row r="125" spans="1:6">
      <c r="A125" t="s">
        <v>263</v>
      </c>
      <c r="B125" t="s">
        <v>7</v>
      </c>
      <c r="C125" t="s">
        <v>8</v>
      </c>
      <c r="D125" t="s">
        <v>264</v>
      </c>
      <c r="E125">
        <v>47000</v>
      </c>
      <c r="F125" s="1">
        <v>24567</v>
      </c>
    </row>
    <row r="126" spans="1:6">
      <c r="A126" t="s">
        <v>265</v>
      </c>
      <c r="B126" t="s">
        <v>7</v>
      </c>
      <c r="C126" t="s">
        <v>8</v>
      </c>
      <c r="D126" t="s">
        <v>266</v>
      </c>
      <c r="E126">
        <v>5600</v>
      </c>
      <c r="F126" s="1">
        <v>3027</v>
      </c>
    </row>
    <row r="127" spans="1:6">
      <c r="A127" t="s">
        <v>267</v>
      </c>
      <c r="B127" t="s">
        <v>7</v>
      </c>
      <c r="C127" t="s">
        <v>8</v>
      </c>
      <c r="D127" t="s">
        <v>268</v>
      </c>
      <c r="E127">
        <v>51000</v>
      </c>
      <c r="F127" s="1">
        <v>19487</v>
      </c>
    </row>
    <row r="128" spans="1:6">
      <c r="A128" t="s">
        <v>269</v>
      </c>
      <c r="B128" t="s">
        <v>39</v>
      </c>
      <c r="C128" t="s">
        <v>40</v>
      </c>
      <c r="D128" t="s">
        <v>270</v>
      </c>
      <c r="E128">
        <v>184999.99952000001</v>
      </c>
      <c r="F128" s="1">
        <v>146649</v>
      </c>
    </row>
    <row r="129" spans="1:6">
      <c r="A129" t="s">
        <v>271</v>
      </c>
      <c r="B129" t="s">
        <v>39</v>
      </c>
      <c r="C129" t="s">
        <v>40</v>
      </c>
      <c r="D129" t="s">
        <v>272</v>
      </c>
      <c r="E129" s="4" t="s">
        <v>505</v>
      </c>
      <c r="F129" s="1">
        <f>0.45*Table2[[#This Row],[Giá bán lẻ]]</f>
        <v>113399.99976600001</v>
      </c>
    </row>
    <row r="130" spans="1:6">
      <c r="A130" t="s">
        <v>273</v>
      </c>
      <c r="B130" t="s">
        <v>39</v>
      </c>
      <c r="C130" t="s">
        <v>40</v>
      </c>
      <c r="D130" t="s">
        <v>274</v>
      </c>
      <c r="E130">
        <v>184999.99952000001</v>
      </c>
      <c r="F130" s="1">
        <v>147704</v>
      </c>
    </row>
    <row r="131" spans="1:6">
      <c r="A131" t="s">
        <v>275</v>
      </c>
      <c r="B131" t="s">
        <v>39</v>
      </c>
      <c r="C131" t="s">
        <v>40</v>
      </c>
      <c r="D131" t="s">
        <v>276</v>
      </c>
      <c r="E131">
        <v>213600.00008000003</v>
      </c>
      <c r="F131" s="1">
        <v>169385</v>
      </c>
    </row>
    <row r="132" spans="1:6">
      <c r="A132" t="s">
        <v>277</v>
      </c>
      <c r="B132" t="s">
        <v>39</v>
      </c>
      <c r="C132" t="s">
        <v>40</v>
      </c>
      <c r="D132" t="s">
        <v>278</v>
      </c>
      <c r="E132" s="3">
        <v>343000.00027999998</v>
      </c>
      <c r="F132" s="1">
        <f>0.45*Table2[[#This Row],[Giá bán lẻ]]</f>
        <v>154350.000126</v>
      </c>
    </row>
    <row r="133" spans="1:6">
      <c r="A133" t="s">
        <v>279</v>
      </c>
      <c r="B133" t="s">
        <v>39</v>
      </c>
      <c r="C133" t="s">
        <v>40</v>
      </c>
      <c r="D133" t="s">
        <v>280</v>
      </c>
      <c r="E133" s="3">
        <v>464000.00024000002</v>
      </c>
      <c r="F133" s="1">
        <f>0.55*Table2[[#This Row],[Giá bán lẻ]]</f>
        <v>255200.00013200004</v>
      </c>
    </row>
    <row r="134" spans="1:6">
      <c r="A134" t="s">
        <v>281</v>
      </c>
      <c r="B134" t="s">
        <v>39</v>
      </c>
      <c r="C134" t="s">
        <v>40</v>
      </c>
      <c r="D134" t="s">
        <v>282</v>
      </c>
      <c r="E134">
        <v>99500.24</v>
      </c>
      <c r="F134" s="1">
        <v>78197</v>
      </c>
    </row>
    <row r="135" spans="1:6">
      <c r="A135" t="s">
        <v>283</v>
      </c>
      <c r="B135" t="s">
        <v>39</v>
      </c>
      <c r="C135" t="s">
        <v>40</v>
      </c>
      <c r="D135" t="s">
        <v>284</v>
      </c>
      <c r="E135">
        <v>187000</v>
      </c>
      <c r="F135" s="1">
        <v>143840</v>
      </c>
    </row>
    <row r="136" spans="1:6">
      <c r="A136" t="s">
        <v>285</v>
      </c>
      <c r="B136" t="s">
        <v>39</v>
      </c>
      <c r="C136" t="s">
        <v>40</v>
      </c>
      <c r="D136" t="s">
        <v>286</v>
      </c>
      <c r="E136" s="2">
        <v>574000.00040000002</v>
      </c>
      <c r="F136" s="1">
        <f>0.55*Table2[[#This Row],[Giá bán lẻ]]</f>
        <v>315700.00022000005</v>
      </c>
    </row>
    <row r="137" spans="1:6">
      <c r="A137" t="s">
        <v>287</v>
      </c>
      <c r="B137" t="s">
        <v>39</v>
      </c>
      <c r="C137" t="s">
        <v>40</v>
      </c>
      <c r="D137" t="s">
        <v>288</v>
      </c>
      <c r="E137">
        <v>491999.88800000004</v>
      </c>
      <c r="F137" s="1">
        <v>392518</v>
      </c>
    </row>
    <row r="138" spans="1:6">
      <c r="A138" t="s">
        <v>289</v>
      </c>
      <c r="B138" t="s">
        <v>39</v>
      </c>
      <c r="C138" t="s">
        <v>40</v>
      </c>
      <c r="D138" t="s">
        <v>290</v>
      </c>
      <c r="E138">
        <v>99500.000240000008</v>
      </c>
      <c r="F138" s="1">
        <v>75570</v>
      </c>
    </row>
    <row r="139" spans="1:6">
      <c r="A139" t="s">
        <v>291</v>
      </c>
      <c r="B139" t="s">
        <v>39</v>
      </c>
      <c r="C139" t="s">
        <v>40</v>
      </c>
      <c r="D139" t="s">
        <v>292</v>
      </c>
      <c r="E139" s="2">
        <v>362000</v>
      </c>
      <c r="F139" s="1">
        <f>0.45*Table2[[#This Row],[Giá bán lẻ]]</f>
        <v>162900</v>
      </c>
    </row>
    <row r="140" spans="1:6">
      <c r="A140" t="s">
        <v>293</v>
      </c>
      <c r="B140" t="s">
        <v>39</v>
      </c>
      <c r="C140" t="s">
        <v>40</v>
      </c>
      <c r="D140" t="s">
        <v>294</v>
      </c>
      <c r="E140" s="2">
        <v>364999.99988000002</v>
      </c>
      <c r="F140" s="1">
        <f>0.45*Table2[[#This Row],[Giá bán lẻ]]</f>
        <v>164249.99994600003</v>
      </c>
    </row>
    <row r="141" spans="1:6">
      <c r="A141" t="s">
        <v>295</v>
      </c>
      <c r="B141" t="s">
        <v>39</v>
      </c>
      <c r="C141" t="s">
        <v>40</v>
      </c>
      <c r="D141" t="s">
        <v>296</v>
      </c>
      <c r="E141">
        <v>118999.99964000001</v>
      </c>
      <c r="F141" s="1">
        <v>94688</v>
      </c>
    </row>
    <row r="142" spans="1:6">
      <c r="A142" t="s">
        <v>297</v>
      </c>
      <c r="B142" t="s">
        <v>39</v>
      </c>
      <c r="C142" t="s">
        <v>40</v>
      </c>
      <c r="D142" t="s">
        <v>298</v>
      </c>
      <c r="E142">
        <v>311999.99996000004</v>
      </c>
      <c r="F142" s="1">
        <v>241675</v>
      </c>
    </row>
    <row r="143" spans="1:6">
      <c r="A143" t="s">
        <v>299</v>
      </c>
      <c r="B143" t="s">
        <v>39</v>
      </c>
      <c r="C143" t="s">
        <v>40</v>
      </c>
      <c r="D143" t="s">
        <v>300</v>
      </c>
      <c r="E143">
        <v>134999.99984</v>
      </c>
      <c r="F143" s="1">
        <v>105826</v>
      </c>
    </row>
    <row r="144" spans="1:6">
      <c r="A144" t="s">
        <v>301</v>
      </c>
      <c r="B144" t="s">
        <v>39</v>
      </c>
      <c r="C144" t="s">
        <v>40</v>
      </c>
      <c r="D144" t="s">
        <v>302</v>
      </c>
      <c r="E144">
        <v>187000</v>
      </c>
      <c r="F144" s="1">
        <v>145449</v>
      </c>
    </row>
    <row r="145" spans="1:6">
      <c r="A145" t="s">
        <v>303</v>
      </c>
      <c r="B145" t="s">
        <v>112</v>
      </c>
      <c r="C145" t="s">
        <v>304</v>
      </c>
      <c r="D145" t="s">
        <v>305</v>
      </c>
      <c r="E145">
        <v>47000</v>
      </c>
      <c r="F145" s="1">
        <f>0.45*Table2[[#This Row],[Giá bán lẻ]]</f>
        <v>21150</v>
      </c>
    </row>
    <row r="146" spans="1:6">
      <c r="A146" t="s">
        <v>306</v>
      </c>
      <c r="B146" t="s">
        <v>112</v>
      </c>
      <c r="C146" t="s">
        <v>304</v>
      </c>
      <c r="D146" t="s">
        <v>307</v>
      </c>
      <c r="E146">
        <v>42000</v>
      </c>
      <c r="F146" s="1">
        <f>0.45*Table2[[#This Row],[Giá bán lẻ]]</f>
        <v>18900</v>
      </c>
    </row>
    <row r="147" spans="1:6">
      <c r="A147" t="s">
        <v>308</v>
      </c>
      <c r="B147" t="s">
        <v>112</v>
      </c>
      <c r="C147" t="s">
        <v>304</v>
      </c>
      <c r="D147" t="s">
        <v>309</v>
      </c>
      <c r="E147">
        <v>62000</v>
      </c>
      <c r="F147" s="1">
        <f>0.45*Table2[[#This Row],[Giá bán lẻ]]</f>
        <v>27900</v>
      </c>
    </row>
    <row r="148" spans="1:6">
      <c r="A148" t="s">
        <v>310</v>
      </c>
      <c r="B148" t="s">
        <v>112</v>
      </c>
      <c r="C148" t="s">
        <v>304</v>
      </c>
      <c r="D148" t="s">
        <v>311</v>
      </c>
      <c r="E148">
        <v>32000</v>
      </c>
      <c r="F148" s="1">
        <f>0.45*Table2[[#This Row],[Giá bán lẻ]]</f>
        <v>14400</v>
      </c>
    </row>
    <row r="149" spans="1:6">
      <c r="A149" t="s">
        <v>312</v>
      </c>
      <c r="B149" t="s">
        <v>112</v>
      </c>
      <c r="C149" t="s">
        <v>304</v>
      </c>
      <c r="D149" t="s">
        <v>313</v>
      </c>
      <c r="E149">
        <v>67000</v>
      </c>
      <c r="F149" s="1">
        <f>0.45*Table2[[#This Row],[Giá bán lẻ]]</f>
        <v>30150</v>
      </c>
    </row>
    <row r="150" spans="1:6">
      <c r="A150" t="s">
        <v>314</v>
      </c>
      <c r="B150" t="s">
        <v>112</v>
      </c>
      <c r="C150" t="s">
        <v>304</v>
      </c>
      <c r="D150" t="s">
        <v>315</v>
      </c>
      <c r="E150">
        <v>62000</v>
      </c>
      <c r="F150" s="1">
        <f>0.45*Table2[[#This Row],[Giá bán lẻ]]</f>
        <v>27900</v>
      </c>
    </row>
    <row r="151" spans="1:6">
      <c r="A151" t="s">
        <v>316</v>
      </c>
      <c r="B151" t="s">
        <v>112</v>
      </c>
      <c r="C151" t="s">
        <v>304</v>
      </c>
      <c r="D151" t="s">
        <v>317</v>
      </c>
      <c r="E151">
        <v>51000</v>
      </c>
      <c r="F151" s="1">
        <f>0.45*Table2[[#This Row],[Giá bán lẻ]]</f>
        <v>22950</v>
      </c>
    </row>
    <row r="152" spans="1:6">
      <c r="A152" t="s">
        <v>318</v>
      </c>
      <c r="B152" t="s">
        <v>112</v>
      </c>
      <c r="C152" t="s">
        <v>304</v>
      </c>
      <c r="D152" t="s">
        <v>319</v>
      </c>
      <c r="E152">
        <v>293600</v>
      </c>
      <c r="F152" s="1">
        <f>0.45*Table2[[#This Row],[Giá bán lẻ]]</f>
        <v>132120</v>
      </c>
    </row>
    <row r="153" spans="1:6">
      <c r="A153" t="s">
        <v>320</v>
      </c>
      <c r="B153" t="s">
        <v>112</v>
      </c>
      <c r="C153" t="s">
        <v>304</v>
      </c>
      <c r="D153" t="s">
        <v>321</v>
      </c>
      <c r="E153">
        <v>67000</v>
      </c>
      <c r="F153" s="1">
        <f>0.45*Table2[[#This Row],[Giá bán lẻ]]</f>
        <v>30150</v>
      </c>
    </row>
    <row r="154" spans="1:6">
      <c r="A154" t="s">
        <v>322</v>
      </c>
      <c r="B154" t="s">
        <v>112</v>
      </c>
      <c r="C154" t="s">
        <v>304</v>
      </c>
      <c r="D154" t="s">
        <v>323</v>
      </c>
      <c r="E154">
        <v>32000</v>
      </c>
      <c r="F154" s="1">
        <f>0.45*Table2[[#This Row],[Giá bán lẻ]]</f>
        <v>14400</v>
      </c>
    </row>
    <row r="155" spans="1:6">
      <c r="A155" t="s">
        <v>324</v>
      </c>
      <c r="B155" t="s">
        <v>112</v>
      </c>
      <c r="C155" t="s">
        <v>304</v>
      </c>
      <c r="D155" t="s">
        <v>325</v>
      </c>
      <c r="E155">
        <v>37000</v>
      </c>
      <c r="F155" s="1">
        <f>0.45*Table2[[#This Row],[Giá bán lẻ]]</f>
        <v>16650</v>
      </c>
    </row>
    <row r="156" spans="1:6">
      <c r="A156" t="s">
        <v>326</v>
      </c>
      <c r="B156" t="s">
        <v>112</v>
      </c>
      <c r="C156" t="s">
        <v>304</v>
      </c>
      <c r="D156" t="s">
        <v>327</v>
      </c>
      <c r="E156">
        <v>42000</v>
      </c>
      <c r="F156" s="1">
        <f>0.45*Table2[[#This Row],[Giá bán lẻ]]</f>
        <v>18900</v>
      </c>
    </row>
    <row r="157" spans="1:6">
      <c r="A157" t="s">
        <v>328</v>
      </c>
      <c r="B157" t="s">
        <v>112</v>
      </c>
      <c r="C157" t="s">
        <v>304</v>
      </c>
      <c r="D157" t="s">
        <v>329</v>
      </c>
      <c r="E157">
        <v>32000</v>
      </c>
      <c r="F157" s="1">
        <f>0.45*Table2[[#This Row],[Giá bán lẻ]]</f>
        <v>14400</v>
      </c>
    </row>
    <row r="158" spans="1:6">
      <c r="A158" t="s">
        <v>330</v>
      </c>
      <c r="B158" t="s">
        <v>112</v>
      </c>
      <c r="C158" t="s">
        <v>304</v>
      </c>
      <c r="D158" t="s">
        <v>331</v>
      </c>
      <c r="E158">
        <v>77000</v>
      </c>
      <c r="F158" s="1">
        <f>0.45*Table2[[#This Row],[Giá bán lẻ]]</f>
        <v>34650</v>
      </c>
    </row>
    <row r="159" spans="1:6">
      <c r="A159" t="s">
        <v>332</v>
      </c>
      <c r="B159" t="s">
        <v>112</v>
      </c>
      <c r="C159" t="s">
        <v>304</v>
      </c>
      <c r="D159" t="s">
        <v>333</v>
      </c>
      <c r="E159">
        <v>62000</v>
      </c>
      <c r="F159" s="1">
        <f>0.45*Table2[[#This Row],[Giá bán lẻ]]</f>
        <v>27900</v>
      </c>
    </row>
    <row r="160" spans="1:6">
      <c r="A160" t="s">
        <v>334</v>
      </c>
      <c r="B160" t="s">
        <v>112</v>
      </c>
      <c r="C160" t="s">
        <v>304</v>
      </c>
      <c r="D160" t="s">
        <v>335</v>
      </c>
      <c r="E160">
        <v>2000</v>
      </c>
      <c r="F160" s="1">
        <f>0.45*Table2[[#This Row],[Giá bán lẻ]]</f>
        <v>900</v>
      </c>
    </row>
    <row r="161" spans="1:6">
      <c r="A161" t="s">
        <v>336</v>
      </c>
      <c r="B161" t="s">
        <v>112</v>
      </c>
      <c r="C161" t="s">
        <v>304</v>
      </c>
      <c r="D161" t="s">
        <v>337</v>
      </c>
      <c r="E161">
        <v>2000</v>
      </c>
      <c r="F161" s="1">
        <f>0.45*Table2[[#This Row],[Giá bán lẻ]]</f>
        <v>900</v>
      </c>
    </row>
    <row r="162" spans="1:6">
      <c r="A162" t="s">
        <v>338</v>
      </c>
      <c r="B162" t="s">
        <v>112</v>
      </c>
      <c r="C162" t="s">
        <v>304</v>
      </c>
      <c r="D162" t="s">
        <v>339</v>
      </c>
      <c r="E162">
        <v>67000</v>
      </c>
      <c r="F162" s="1">
        <f>0.45*Table2[[#This Row],[Giá bán lẻ]]</f>
        <v>30150</v>
      </c>
    </row>
    <row r="163" spans="1:6">
      <c r="A163" t="s">
        <v>340</v>
      </c>
      <c r="B163" t="s">
        <v>112</v>
      </c>
      <c r="C163" t="s">
        <v>304</v>
      </c>
      <c r="D163" t="s">
        <v>341</v>
      </c>
      <c r="E163">
        <v>62000</v>
      </c>
      <c r="F163" s="1">
        <f>0.45*Table2[[#This Row],[Giá bán lẻ]]</f>
        <v>27900</v>
      </c>
    </row>
    <row r="164" spans="1:6">
      <c r="A164" t="s">
        <v>342</v>
      </c>
      <c r="B164" t="s">
        <v>112</v>
      </c>
      <c r="C164" t="s">
        <v>304</v>
      </c>
      <c r="D164" t="s">
        <v>343</v>
      </c>
      <c r="E164">
        <v>42000</v>
      </c>
      <c r="F164" s="1">
        <f>0.45*Table2[[#This Row],[Giá bán lẻ]]</f>
        <v>18900</v>
      </c>
    </row>
    <row r="165" spans="1:6">
      <c r="A165" t="s">
        <v>344</v>
      </c>
      <c r="B165" t="s">
        <v>112</v>
      </c>
      <c r="C165" t="s">
        <v>304</v>
      </c>
      <c r="D165" t="s">
        <v>345</v>
      </c>
      <c r="E165">
        <v>42000</v>
      </c>
      <c r="F165" s="1">
        <f>0.45*Table2[[#This Row],[Giá bán lẻ]]</f>
        <v>18900</v>
      </c>
    </row>
    <row r="166" spans="1:6">
      <c r="A166" t="s">
        <v>346</v>
      </c>
      <c r="B166" t="s">
        <v>112</v>
      </c>
      <c r="C166" t="s">
        <v>304</v>
      </c>
      <c r="D166" t="s">
        <v>347</v>
      </c>
      <c r="E166">
        <v>67000</v>
      </c>
      <c r="F166" s="1">
        <f>0.45*Table2[[#This Row],[Giá bán lẻ]]</f>
        <v>30150</v>
      </c>
    </row>
    <row r="167" spans="1:6">
      <c r="A167" t="s">
        <v>348</v>
      </c>
      <c r="B167" t="s">
        <v>112</v>
      </c>
      <c r="C167" t="s">
        <v>304</v>
      </c>
      <c r="D167" t="s">
        <v>349</v>
      </c>
      <c r="E167">
        <v>42000</v>
      </c>
      <c r="F167" s="1">
        <f>0.45*Table2[[#This Row],[Giá bán lẻ]]</f>
        <v>18900</v>
      </c>
    </row>
    <row r="168" spans="1:6">
      <c r="A168" t="s">
        <v>350</v>
      </c>
      <c r="B168" t="s">
        <v>112</v>
      </c>
      <c r="C168" t="s">
        <v>304</v>
      </c>
      <c r="D168" t="s">
        <v>351</v>
      </c>
      <c r="E168">
        <v>32000</v>
      </c>
      <c r="F168" s="1">
        <f>0.45*Table2[[#This Row],[Giá bán lẻ]]</f>
        <v>14400</v>
      </c>
    </row>
    <row r="169" spans="1:6">
      <c r="A169" t="s">
        <v>352</v>
      </c>
      <c r="B169" t="s">
        <v>112</v>
      </c>
      <c r="C169" t="s">
        <v>304</v>
      </c>
      <c r="D169" t="s">
        <v>353</v>
      </c>
      <c r="E169">
        <v>67000</v>
      </c>
      <c r="F169" s="1">
        <f>0.45*Table2[[#This Row],[Giá bán lẻ]]</f>
        <v>30150</v>
      </c>
    </row>
    <row r="170" spans="1:6">
      <c r="A170" t="s">
        <v>354</v>
      </c>
      <c r="B170" t="s">
        <v>112</v>
      </c>
      <c r="C170" t="s">
        <v>304</v>
      </c>
      <c r="D170" t="s">
        <v>355</v>
      </c>
      <c r="E170">
        <v>62000</v>
      </c>
      <c r="F170" s="1">
        <f>0.45*Table2[[#This Row],[Giá bán lẻ]]</f>
        <v>27900</v>
      </c>
    </row>
    <row r="171" spans="1:6">
      <c r="A171" t="s">
        <v>356</v>
      </c>
      <c r="B171" t="s">
        <v>112</v>
      </c>
      <c r="C171" t="s">
        <v>304</v>
      </c>
      <c r="D171" t="s">
        <v>357</v>
      </c>
      <c r="E171">
        <v>25999.999999999996</v>
      </c>
      <c r="F171" s="1">
        <f>0.45*Table2[[#This Row],[Giá bán lẻ]]</f>
        <v>11699.999999999998</v>
      </c>
    </row>
    <row r="172" spans="1:6">
      <c r="A172" t="s">
        <v>358</v>
      </c>
      <c r="B172" t="s">
        <v>112</v>
      </c>
      <c r="C172" t="s">
        <v>304</v>
      </c>
      <c r="D172" t="s">
        <v>359</v>
      </c>
      <c r="E172">
        <v>21000</v>
      </c>
      <c r="F172" s="1">
        <f>0.45*Table2[[#This Row],[Giá bán lẻ]]</f>
        <v>9450</v>
      </c>
    </row>
    <row r="173" spans="1:6">
      <c r="A173" t="s">
        <v>360</v>
      </c>
      <c r="B173" t="s">
        <v>112</v>
      </c>
      <c r="C173" t="s">
        <v>304</v>
      </c>
      <c r="D173" t="s">
        <v>361</v>
      </c>
      <c r="E173">
        <v>37000</v>
      </c>
      <c r="F173" s="1">
        <f>0.45*Table2[[#This Row],[Giá bán lẻ]]</f>
        <v>16650</v>
      </c>
    </row>
    <row r="174" spans="1:6">
      <c r="A174" t="s">
        <v>362</v>
      </c>
      <c r="B174" t="s">
        <v>112</v>
      </c>
      <c r="C174" t="s">
        <v>304</v>
      </c>
      <c r="D174" t="s">
        <v>363</v>
      </c>
      <c r="E174">
        <v>47000</v>
      </c>
      <c r="F174" s="1">
        <f>0.45*Table2[[#This Row],[Giá bán lẻ]]</f>
        <v>21150</v>
      </c>
    </row>
    <row r="175" spans="1:6">
      <c r="A175" t="s">
        <v>364</v>
      </c>
      <c r="B175" t="s">
        <v>112</v>
      </c>
      <c r="C175" t="s">
        <v>304</v>
      </c>
      <c r="D175" t="s">
        <v>365</v>
      </c>
      <c r="E175">
        <v>42000</v>
      </c>
      <c r="F175" s="1">
        <f>0.45*Table2[[#This Row],[Giá bán lẻ]]</f>
        <v>18900</v>
      </c>
    </row>
    <row r="176" spans="1:6">
      <c r="A176" t="s">
        <v>366</v>
      </c>
      <c r="B176" t="s">
        <v>112</v>
      </c>
      <c r="C176" t="s">
        <v>304</v>
      </c>
      <c r="D176" t="s">
        <v>367</v>
      </c>
      <c r="E176">
        <v>42000</v>
      </c>
      <c r="F176" s="1">
        <f>0.45*Table2[[#This Row],[Giá bán lẻ]]</f>
        <v>18900</v>
      </c>
    </row>
    <row r="177" spans="1:6">
      <c r="A177" t="s">
        <v>368</v>
      </c>
      <c r="B177" t="s">
        <v>112</v>
      </c>
      <c r="C177" t="s">
        <v>304</v>
      </c>
      <c r="D177" t="s">
        <v>369</v>
      </c>
      <c r="E177">
        <v>67000</v>
      </c>
      <c r="F177" s="1">
        <f>0.45*Table2[[#This Row],[Giá bán lẻ]]</f>
        <v>30150</v>
      </c>
    </row>
    <row r="178" spans="1:6">
      <c r="A178" t="s">
        <v>370</v>
      </c>
      <c r="B178" t="s">
        <v>112</v>
      </c>
      <c r="C178" t="s">
        <v>304</v>
      </c>
      <c r="D178" t="s">
        <v>371</v>
      </c>
      <c r="E178">
        <v>42000</v>
      </c>
      <c r="F178" s="1">
        <f>0.45*Table2[[#This Row],[Giá bán lẻ]]</f>
        <v>18900</v>
      </c>
    </row>
    <row r="179" spans="1:6">
      <c r="A179" t="s">
        <v>372</v>
      </c>
      <c r="B179" t="s">
        <v>112</v>
      </c>
      <c r="C179" t="s">
        <v>304</v>
      </c>
      <c r="D179" t="s">
        <v>373</v>
      </c>
      <c r="E179">
        <v>47000</v>
      </c>
      <c r="F179" s="1">
        <f>0.45*Table2[[#This Row],[Giá bán lẻ]]</f>
        <v>21150</v>
      </c>
    </row>
    <row r="180" spans="1:6">
      <c r="A180" t="s">
        <v>374</v>
      </c>
      <c r="B180" t="s">
        <v>112</v>
      </c>
      <c r="C180" t="s">
        <v>304</v>
      </c>
      <c r="D180" t="s">
        <v>375</v>
      </c>
      <c r="E180">
        <v>62000</v>
      </c>
      <c r="F180" s="1">
        <f>0.45*Table2[[#This Row],[Giá bán lẻ]]</f>
        <v>27900</v>
      </c>
    </row>
    <row r="181" spans="1:6">
      <c r="A181" t="s">
        <v>376</v>
      </c>
      <c r="B181" t="s">
        <v>112</v>
      </c>
      <c r="C181" t="s">
        <v>304</v>
      </c>
      <c r="D181" t="s">
        <v>377</v>
      </c>
      <c r="E181">
        <v>32000</v>
      </c>
      <c r="F181" s="1">
        <f>0.45*Table2[[#This Row],[Giá bán lẻ]]</f>
        <v>14400</v>
      </c>
    </row>
    <row r="182" spans="1:6">
      <c r="A182" t="s">
        <v>378</v>
      </c>
      <c r="B182" t="s">
        <v>112</v>
      </c>
      <c r="C182" t="s">
        <v>304</v>
      </c>
      <c r="D182" t="s">
        <v>379</v>
      </c>
      <c r="E182">
        <v>25999.999999999996</v>
      </c>
      <c r="F182" s="1">
        <f>0.45*Table2[[#This Row],[Giá bán lẻ]]</f>
        <v>11699.999999999998</v>
      </c>
    </row>
    <row r="183" spans="1:6">
      <c r="A183" t="s">
        <v>380</v>
      </c>
      <c r="B183" t="s">
        <v>112</v>
      </c>
      <c r="C183" t="s">
        <v>304</v>
      </c>
      <c r="D183" t="s">
        <v>381</v>
      </c>
      <c r="E183">
        <v>21000</v>
      </c>
      <c r="F183" s="1">
        <f>0.45*Table2[[#This Row],[Giá bán lẻ]]</f>
        <v>9450</v>
      </c>
    </row>
    <row r="184" spans="1:6">
      <c r="A184" t="s">
        <v>382</v>
      </c>
      <c r="B184" t="s">
        <v>112</v>
      </c>
      <c r="C184" t="s">
        <v>304</v>
      </c>
      <c r="D184" t="s">
        <v>383</v>
      </c>
      <c r="E184">
        <v>47000</v>
      </c>
      <c r="F184" s="1">
        <f>0.45*Table2[[#This Row],[Giá bán lẻ]]</f>
        <v>21150</v>
      </c>
    </row>
    <row r="185" spans="1:6">
      <c r="A185" t="s">
        <v>384</v>
      </c>
      <c r="B185" t="s">
        <v>112</v>
      </c>
      <c r="C185" t="s">
        <v>304</v>
      </c>
      <c r="D185" t="s">
        <v>385</v>
      </c>
      <c r="E185">
        <v>42000</v>
      </c>
      <c r="F185" s="1">
        <f>0.45*Table2[[#This Row],[Giá bán lẻ]]</f>
        <v>18900</v>
      </c>
    </row>
    <row r="186" spans="1:6">
      <c r="A186" t="s">
        <v>386</v>
      </c>
      <c r="B186" t="s">
        <v>112</v>
      </c>
      <c r="C186" t="s">
        <v>304</v>
      </c>
      <c r="D186" t="s">
        <v>387</v>
      </c>
      <c r="E186">
        <v>37000</v>
      </c>
      <c r="F186" s="1">
        <f>0.45*Table2[[#This Row],[Giá bán lẻ]]</f>
        <v>16650</v>
      </c>
    </row>
    <row r="187" spans="1:6">
      <c r="A187" t="s">
        <v>388</v>
      </c>
      <c r="B187" t="s">
        <v>112</v>
      </c>
      <c r="C187" t="s">
        <v>304</v>
      </c>
      <c r="D187" t="s">
        <v>389</v>
      </c>
      <c r="E187">
        <v>52000</v>
      </c>
      <c r="F187" s="1">
        <f>0.45*Table2[[#This Row],[Giá bán lẻ]]</f>
        <v>23400</v>
      </c>
    </row>
    <row r="188" spans="1:6">
      <c r="A188" t="s">
        <v>390</v>
      </c>
      <c r="B188" t="s">
        <v>112</v>
      </c>
      <c r="C188" t="s">
        <v>304</v>
      </c>
      <c r="D188" t="s">
        <v>391</v>
      </c>
      <c r="E188">
        <v>62000</v>
      </c>
      <c r="F188" s="1">
        <f>0.45*Table2[[#This Row],[Giá bán lẻ]]</f>
        <v>27900</v>
      </c>
    </row>
    <row r="189" spans="1:6">
      <c r="A189" t="s">
        <v>392</v>
      </c>
      <c r="B189" t="s">
        <v>112</v>
      </c>
      <c r="C189" t="s">
        <v>304</v>
      </c>
      <c r="D189" t="s">
        <v>393</v>
      </c>
      <c r="E189">
        <v>69500</v>
      </c>
      <c r="F189" s="1">
        <f>0.45*Table2[[#This Row],[Giá bán lẻ]]</f>
        <v>31275</v>
      </c>
    </row>
    <row r="190" spans="1:6">
      <c r="A190" t="s">
        <v>394</v>
      </c>
      <c r="B190" t="s">
        <v>112</v>
      </c>
      <c r="C190" t="s">
        <v>304</v>
      </c>
      <c r="D190" t="s">
        <v>395</v>
      </c>
      <c r="E190">
        <v>69500</v>
      </c>
      <c r="F190" s="1">
        <f>0.45*Table2[[#This Row],[Giá bán lẻ]]</f>
        <v>31275</v>
      </c>
    </row>
    <row r="191" spans="1:6">
      <c r="A191" t="s">
        <v>396</v>
      </c>
      <c r="B191" t="s">
        <v>112</v>
      </c>
      <c r="C191" t="s">
        <v>304</v>
      </c>
      <c r="D191" t="s">
        <v>397</v>
      </c>
      <c r="E191">
        <v>58249.999640000002</v>
      </c>
      <c r="F191" s="1">
        <f>0.45*Table2[[#This Row],[Giá bán lẻ]]</f>
        <v>26212.499838</v>
      </c>
    </row>
    <row r="192" spans="1:6">
      <c r="A192" t="s">
        <v>398</v>
      </c>
      <c r="B192" t="s">
        <v>112</v>
      </c>
      <c r="C192" t="s">
        <v>304</v>
      </c>
      <c r="D192" t="s">
        <v>399</v>
      </c>
      <c r="E192">
        <v>42000</v>
      </c>
      <c r="F192" s="1">
        <f>0.45*Table2[[#This Row],[Giá bán lẻ]]</f>
        <v>18900</v>
      </c>
    </row>
    <row r="193" spans="1:6">
      <c r="A193" t="s">
        <v>400</v>
      </c>
      <c r="B193" t="s">
        <v>112</v>
      </c>
      <c r="C193" t="s">
        <v>304</v>
      </c>
      <c r="D193" t="s">
        <v>401</v>
      </c>
      <c r="E193">
        <v>77000</v>
      </c>
      <c r="F193" s="1">
        <f>0.45*Table2[[#This Row],[Giá bán lẻ]]</f>
        <v>34650</v>
      </c>
    </row>
    <row r="194" spans="1:6">
      <c r="A194" t="s">
        <v>402</v>
      </c>
      <c r="B194" t="s">
        <v>112</v>
      </c>
      <c r="C194" t="s">
        <v>304</v>
      </c>
      <c r="D194" t="s">
        <v>403</v>
      </c>
      <c r="E194">
        <v>82000</v>
      </c>
      <c r="F194" s="1">
        <f>0.45*Table2[[#This Row],[Giá bán lẻ]]</f>
        <v>36900</v>
      </c>
    </row>
    <row r="195" spans="1:6">
      <c r="A195" t="s">
        <v>404</v>
      </c>
      <c r="B195" t="s">
        <v>112</v>
      </c>
      <c r="C195" t="s">
        <v>304</v>
      </c>
      <c r="D195" t="s">
        <v>405</v>
      </c>
      <c r="E195">
        <v>67000</v>
      </c>
      <c r="F195" s="1">
        <f>0.45*Table2[[#This Row],[Giá bán lẻ]]</f>
        <v>30150</v>
      </c>
    </row>
    <row r="196" spans="1:6">
      <c r="A196" t="s">
        <v>406</v>
      </c>
      <c r="B196" t="s">
        <v>112</v>
      </c>
      <c r="C196" t="s">
        <v>304</v>
      </c>
      <c r="D196" t="s">
        <v>407</v>
      </c>
      <c r="E196">
        <v>42000</v>
      </c>
      <c r="F196" s="1">
        <f>0.45*Table2[[#This Row],[Giá bán lẻ]]</f>
        <v>18900</v>
      </c>
    </row>
    <row r="197" spans="1:6">
      <c r="A197" t="s">
        <v>408</v>
      </c>
      <c r="B197" t="s">
        <v>112</v>
      </c>
      <c r="C197" t="s">
        <v>304</v>
      </c>
      <c r="D197" t="s">
        <v>409</v>
      </c>
      <c r="E197">
        <v>52000</v>
      </c>
      <c r="F197" s="1">
        <f>0.45*Table2[[#This Row],[Giá bán lẻ]]</f>
        <v>23400</v>
      </c>
    </row>
    <row r="198" spans="1:6">
      <c r="A198" t="s">
        <v>410</v>
      </c>
      <c r="B198" t="s">
        <v>112</v>
      </c>
      <c r="C198" t="s">
        <v>304</v>
      </c>
      <c r="D198" t="s">
        <v>411</v>
      </c>
      <c r="E198">
        <v>62000</v>
      </c>
      <c r="F198" s="1">
        <f>0.45*Table2[[#This Row],[Giá bán lẻ]]</f>
        <v>27900</v>
      </c>
    </row>
    <row r="199" spans="1:6">
      <c r="A199" t="s">
        <v>412</v>
      </c>
      <c r="B199" t="s">
        <v>112</v>
      </c>
      <c r="C199" t="s">
        <v>304</v>
      </c>
      <c r="D199" t="s">
        <v>413</v>
      </c>
      <c r="E199">
        <v>77000</v>
      </c>
      <c r="F199" s="1">
        <f>0.45*Table2[[#This Row],[Giá bán lẻ]]</f>
        <v>34650</v>
      </c>
    </row>
    <row r="200" spans="1:6">
      <c r="A200" t="s">
        <v>414</v>
      </c>
      <c r="B200" t="s">
        <v>112</v>
      </c>
      <c r="C200" t="s">
        <v>304</v>
      </c>
      <c r="D200" t="s">
        <v>415</v>
      </c>
      <c r="E200">
        <v>52000</v>
      </c>
      <c r="F200" s="1">
        <f>0.45*Table2[[#This Row],[Giá bán lẻ]]</f>
        <v>23400</v>
      </c>
    </row>
    <row r="201" spans="1:6">
      <c r="A201" t="s">
        <v>416</v>
      </c>
      <c r="B201" t="s">
        <v>112</v>
      </c>
      <c r="C201" t="s">
        <v>304</v>
      </c>
      <c r="D201" t="s">
        <v>417</v>
      </c>
      <c r="E201">
        <v>52000</v>
      </c>
      <c r="F201" s="1">
        <f>0.45*Table2[[#This Row],[Giá bán lẻ]]</f>
        <v>23400</v>
      </c>
    </row>
    <row r="202" spans="1:6">
      <c r="A202" t="s">
        <v>418</v>
      </c>
      <c r="B202" t="s">
        <v>112</v>
      </c>
      <c r="C202" t="s">
        <v>304</v>
      </c>
      <c r="D202" t="s">
        <v>419</v>
      </c>
      <c r="E202">
        <v>42000</v>
      </c>
      <c r="F202" s="1">
        <f>0.45*Table2[[#This Row],[Giá bán lẻ]]</f>
        <v>18900</v>
      </c>
    </row>
    <row r="203" spans="1:6">
      <c r="A203" t="s">
        <v>420</v>
      </c>
      <c r="B203" t="s">
        <v>112</v>
      </c>
      <c r="C203" t="s">
        <v>304</v>
      </c>
      <c r="D203" t="s">
        <v>421</v>
      </c>
      <c r="E203">
        <v>67000</v>
      </c>
      <c r="F203" s="1">
        <f>0.45*Table2[[#This Row],[Giá bán lẻ]]</f>
        <v>30150</v>
      </c>
    </row>
    <row r="204" spans="1:6">
      <c r="A204" t="s">
        <v>422</v>
      </c>
      <c r="B204" t="s">
        <v>112</v>
      </c>
      <c r="C204" t="s">
        <v>304</v>
      </c>
      <c r="D204" t="s">
        <v>423</v>
      </c>
      <c r="E204">
        <v>42000</v>
      </c>
      <c r="F204" s="1">
        <f>0.45*Table2[[#This Row],[Giá bán lẻ]]</f>
        <v>18900</v>
      </c>
    </row>
    <row r="205" spans="1:6">
      <c r="A205" t="s">
        <v>425</v>
      </c>
      <c r="B205" t="s">
        <v>112</v>
      </c>
      <c r="C205" t="s">
        <v>424</v>
      </c>
      <c r="D205" t="s">
        <v>426</v>
      </c>
      <c r="E205">
        <v>32000</v>
      </c>
      <c r="F205" s="1">
        <f>0.45*Table2[[#This Row],[Giá bán lẻ]]</f>
        <v>14400</v>
      </c>
    </row>
    <row r="206" spans="1:6">
      <c r="A206" t="s">
        <v>427</v>
      </c>
      <c r="B206" t="s">
        <v>112</v>
      </c>
      <c r="C206" t="s">
        <v>424</v>
      </c>
      <c r="D206" t="s">
        <v>428</v>
      </c>
      <c r="E206">
        <v>32000</v>
      </c>
      <c r="F206" s="1">
        <f>0.45*Table2[[#This Row],[Giá bán lẻ]]</f>
        <v>14400</v>
      </c>
    </row>
    <row r="207" spans="1:6">
      <c r="A207" t="s">
        <v>430</v>
      </c>
      <c r="B207" t="s">
        <v>112</v>
      </c>
      <c r="C207" t="s">
        <v>429</v>
      </c>
      <c r="D207" t="s">
        <v>431</v>
      </c>
      <c r="E207">
        <v>42000</v>
      </c>
      <c r="F207" s="1">
        <f>0.45*Table2[[#This Row],[Giá bán lẻ]]</f>
        <v>18900</v>
      </c>
    </row>
    <row r="208" spans="1:6">
      <c r="A208" t="s">
        <v>432</v>
      </c>
      <c r="B208" t="s">
        <v>112</v>
      </c>
      <c r="C208" t="s">
        <v>429</v>
      </c>
      <c r="D208" t="s">
        <v>433</v>
      </c>
      <c r="E208">
        <v>42000</v>
      </c>
      <c r="F208" s="1">
        <f>0.45*Table2[[#This Row],[Giá bán lẻ]]</f>
        <v>18900</v>
      </c>
    </row>
    <row r="209" spans="1:6">
      <c r="A209" t="s">
        <v>434</v>
      </c>
      <c r="B209" t="s">
        <v>112</v>
      </c>
      <c r="C209" t="s">
        <v>429</v>
      </c>
      <c r="D209" t="s">
        <v>435</v>
      </c>
      <c r="E209">
        <v>62000</v>
      </c>
      <c r="F209" s="1">
        <f>0.45*Table2[[#This Row],[Giá bán lẻ]]</f>
        <v>27900</v>
      </c>
    </row>
    <row r="210" spans="1:6">
      <c r="A210" t="s">
        <v>436</v>
      </c>
      <c r="B210" t="s">
        <v>112</v>
      </c>
      <c r="C210" t="s">
        <v>429</v>
      </c>
      <c r="D210" t="s">
        <v>437</v>
      </c>
      <c r="E210">
        <v>42000</v>
      </c>
      <c r="F210" s="1">
        <f>0.45*Table2[[#This Row],[Giá bán lẻ]]</f>
        <v>18900</v>
      </c>
    </row>
    <row r="211" spans="1:6">
      <c r="A211" t="s">
        <v>438</v>
      </c>
      <c r="B211" t="s">
        <v>112</v>
      </c>
      <c r="C211" t="s">
        <v>429</v>
      </c>
      <c r="D211" t="s">
        <v>439</v>
      </c>
      <c r="E211">
        <v>52000</v>
      </c>
      <c r="F211" s="1">
        <f>0.45*Table2[[#This Row],[Giá bán lẻ]]</f>
        <v>23400</v>
      </c>
    </row>
    <row r="212" spans="1:6">
      <c r="A212" t="s">
        <v>440</v>
      </c>
      <c r="B212" t="s">
        <v>112</v>
      </c>
      <c r="C212" t="s">
        <v>429</v>
      </c>
      <c r="D212" t="s">
        <v>441</v>
      </c>
      <c r="E212">
        <v>67000</v>
      </c>
      <c r="F212" s="1">
        <f>0.45*Table2[[#This Row],[Giá bán lẻ]]</f>
        <v>30150</v>
      </c>
    </row>
    <row r="213" spans="1:6">
      <c r="A213" t="s">
        <v>442</v>
      </c>
      <c r="B213" t="s">
        <v>112</v>
      </c>
      <c r="C213" t="s">
        <v>429</v>
      </c>
      <c r="D213" t="s">
        <v>443</v>
      </c>
      <c r="E213">
        <v>42000</v>
      </c>
      <c r="F213" s="1">
        <f>0.45*Table2[[#This Row],[Giá bán lẻ]]</f>
        <v>18900</v>
      </c>
    </row>
    <row r="214" spans="1:6">
      <c r="A214" t="s">
        <v>444</v>
      </c>
      <c r="B214" t="s">
        <v>112</v>
      </c>
      <c r="C214" t="s">
        <v>429</v>
      </c>
      <c r="D214" t="s">
        <v>445</v>
      </c>
      <c r="E214">
        <v>42000</v>
      </c>
      <c r="F214" s="1">
        <f>0.45*Table2[[#This Row],[Giá bán lẻ]]</f>
        <v>18900</v>
      </c>
    </row>
    <row r="215" spans="1:6">
      <c r="A215" t="s">
        <v>446</v>
      </c>
      <c r="B215" t="s">
        <v>112</v>
      </c>
      <c r="C215" t="s">
        <v>429</v>
      </c>
      <c r="D215" t="s">
        <v>447</v>
      </c>
      <c r="E215">
        <v>62000</v>
      </c>
      <c r="F215" s="1">
        <f>0.45*Table2[[#This Row],[Giá bán lẻ]]</f>
        <v>27900</v>
      </c>
    </row>
    <row r="216" spans="1:6">
      <c r="A216" t="s">
        <v>448</v>
      </c>
      <c r="B216" t="s">
        <v>112</v>
      </c>
      <c r="C216" t="s">
        <v>429</v>
      </c>
      <c r="D216" t="s">
        <v>449</v>
      </c>
      <c r="E216">
        <v>42000</v>
      </c>
      <c r="F216" s="1">
        <f>0.45*Table2[[#This Row],[Giá bán lẻ]]</f>
        <v>18900</v>
      </c>
    </row>
    <row r="217" spans="1:6">
      <c r="A217" t="s">
        <v>450</v>
      </c>
      <c r="B217" t="s">
        <v>112</v>
      </c>
      <c r="C217" t="s">
        <v>429</v>
      </c>
      <c r="D217" t="s">
        <v>451</v>
      </c>
      <c r="E217">
        <v>42000</v>
      </c>
      <c r="F217" s="1">
        <f>0.45*Table2[[#This Row],[Giá bán lẻ]]</f>
        <v>18900</v>
      </c>
    </row>
    <row r="218" spans="1:6">
      <c r="A218" t="s">
        <v>452</v>
      </c>
      <c r="B218" t="s">
        <v>112</v>
      </c>
      <c r="C218" t="s">
        <v>429</v>
      </c>
      <c r="D218" t="s">
        <v>453</v>
      </c>
      <c r="E218">
        <v>32000</v>
      </c>
      <c r="F218" s="1">
        <f>0.45*Table2[[#This Row],[Giá bán lẻ]]</f>
        <v>14400</v>
      </c>
    </row>
    <row r="219" spans="1:6">
      <c r="A219" t="s">
        <v>454</v>
      </c>
      <c r="B219" t="s">
        <v>112</v>
      </c>
      <c r="C219" t="s">
        <v>429</v>
      </c>
      <c r="D219" t="s">
        <v>455</v>
      </c>
      <c r="E219">
        <v>42000</v>
      </c>
      <c r="F219" s="1">
        <f>0.45*Table2[[#This Row],[Giá bán lẻ]]</f>
        <v>18900</v>
      </c>
    </row>
    <row r="220" spans="1:6">
      <c r="A220" t="s">
        <v>456</v>
      </c>
      <c r="B220" t="s">
        <v>112</v>
      </c>
      <c r="C220" t="s">
        <v>429</v>
      </c>
      <c r="D220" t="s">
        <v>457</v>
      </c>
      <c r="E220">
        <v>32000</v>
      </c>
      <c r="F220" s="1">
        <f>0.45*Table2[[#This Row],[Giá bán lẻ]]</f>
        <v>14400</v>
      </c>
    </row>
    <row r="221" spans="1:6">
      <c r="A221" t="s">
        <v>458</v>
      </c>
      <c r="B221" t="s">
        <v>112</v>
      </c>
      <c r="C221" t="s">
        <v>429</v>
      </c>
      <c r="D221" t="s">
        <v>459</v>
      </c>
      <c r="E221">
        <v>42000</v>
      </c>
      <c r="F221" s="1">
        <f>0.45*Table2[[#This Row],[Giá bán lẻ]]</f>
        <v>18900</v>
      </c>
    </row>
    <row r="222" spans="1:6">
      <c r="A222" t="s">
        <v>460</v>
      </c>
      <c r="B222" t="s">
        <v>112</v>
      </c>
      <c r="C222" t="s">
        <v>429</v>
      </c>
      <c r="D222" t="s">
        <v>461</v>
      </c>
      <c r="E222">
        <v>42000</v>
      </c>
      <c r="F222" s="1">
        <f>0.45*Table2[[#This Row],[Giá bán lẻ]]</f>
        <v>18900</v>
      </c>
    </row>
    <row r="223" spans="1:6">
      <c r="A223" t="s">
        <v>462</v>
      </c>
      <c r="B223" t="s">
        <v>112</v>
      </c>
      <c r="C223" t="s">
        <v>429</v>
      </c>
      <c r="D223" t="s">
        <v>463</v>
      </c>
      <c r="E223">
        <v>42000</v>
      </c>
      <c r="F223" s="1">
        <f>0.45*Table2[[#This Row],[Giá bán lẻ]]</f>
        <v>18900</v>
      </c>
    </row>
    <row r="224" spans="1:6">
      <c r="A224" t="s">
        <v>465</v>
      </c>
      <c r="B224" t="s">
        <v>112</v>
      </c>
      <c r="C224" t="s">
        <v>464</v>
      </c>
      <c r="D224" t="s">
        <v>466</v>
      </c>
      <c r="E224">
        <v>37000</v>
      </c>
      <c r="F224" s="1">
        <f>0.45*Table2[[#This Row],[Giá bán lẻ]]</f>
        <v>16650</v>
      </c>
    </row>
    <row r="225" spans="1:6">
      <c r="A225" t="s">
        <v>467</v>
      </c>
      <c r="B225" t="s">
        <v>112</v>
      </c>
      <c r="C225" t="s">
        <v>464</v>
      </c>
      <c r="D225" t="s">
        <v>468</v>
      </c>
      <c r="E225">
        <v>37000</v>
      </c>
      <c r="F225" s="1">
        <f>0.45*Table2[[#This Row],[Giá bán lẻ]]</f>
        <v>16650</v>
      </c>
    </row>
    <row r="226" spans="1:6">
      <c r="A226" t="s">
        <v>469</v>
      </c>
      <c r="B226" t="s">
        <v>112</v>
      </c>
      <c r="C226" t="s">
        <v>464</v>
      </c>
      <c r="D226" t="s">
        <v>470</v>
      </c>
      <c r="E226">
        <v>37000</v>
      </c>
      <c r="F226" s="1">
        <f>0.45*Table2[[#This Row],[Giá bán lẻ]]</f>
        <v>16650</v>
      </c>
    </row>
    <row r="227" spans="1:6">
      <c r="A227" t="s">
        <v>471</v>
      </c>
      <c r="B227" t="s">
        <v>112</v>
      </c>
      <c r="C227" t="s">
        <v>464</v>
      </c>
      <c r="D227" t="s">
        <v>472</v>
      </c>
      <c r="E227">
        <v>67000</v>
      </c>
      <c r="F227" s="1">
        <f>0.45*Table2[[#This Row],[Giá bán lẻ]]</f>
        <v>30150</v>
      </c>
    </row>
    <row r="228" spans="1:6">
      <c r="A228" t="s">
        <v>473</v>
      </c>
      <c r="B228" t="s">
        <v>112</v>
      </c>
      <c r="C228" t="s">
        <v>464</v>
      </c>
      <c r="D228" t="s">
        <v>474</v>
      </c>
      <c r="E228">
        <v>37000</v>
      </c>
      <c r="F228" s="1">
        <f>0.45*Table2[[#This Row],[Giá bán lẻ]]</f>
        <v>16650</v>
      </c>
    </row>
    <row r="229" spans="1:6">
      <c r="A229" t="s">
        <v>475</v>
      </c>
      <c r="B229" t="s">
        <v>112</v>
      </c>
      <c r="C229" t="s">
        <v>464</v>
      </c>
      <c r="D229" t="s">
        <v>476</v>
      </c>
      <c r="E229">
        <v>52000</v>
      </c>
      <c r="F229" s="1">
        <f>0.45*Table2[[#This Row],[Giá bán lẻ]]</f>
        <v>23400</v>
      </c>
    </row>
    <row r="230" spans="1:6">
      <c r="A230" t="s">
        <v>477</v>
      </c>
      <c r="B230" t="s">
        <v>112</v>
      </c>
      <c r="C230" t="s">
        <v>464</v>
      </c>
      <c r="D230" t="s">
        <v>478</v>
      </c>
      <c r="E230">
        <v>67000</v>
      </c>
      <c r="F230" s="1">
        <f>0.45*Table2[[#This Row],[Giá bán lẻ]]</f>
        <v>30150</v>
      </c>
    </row>
    <row r="231" spans="1:6">
      <c r="A231" t="s">
        <v>479</v>
      </c>
      <c r="B231" t="s">
        <v>112</v>
      </c>
      <c r="C231" t="s">
        <v>464</v>
      </c>
      <c r="D231" t="s">
        <v>480</v>
      </c>
      <c r="E231">
        <v>37000</v>
      </c>
      <c r="F231" s="1">
        <f>0.45*Table2[[#This Row],[Giá bán lẻ]]</f>
        <v>16650</v>
      </c>
    </row>
    <row r="232" spans="1:6">
      <c r="A232" t="s">
        <v>481</v>
      </c>
      <c r="B232" t="s">
        <v>112</v>
      </c>
      <c r="C232" t="s">
        <v>464</v>
      </c>
      <c r="D232" t="s">
        <v>482</v>
      </c>
      <c r="E232">
        <v>67000</v>
      </c>
      <c r="F232" s="1">
        <f>0.45*Table2[[#This Row],[Giá bán lẻ]]</f>
        <v>30150</v>
      </c>
    </row>
    <row r="233" spans="1:6">
      <c r="A233" t="s">
        <v>483</v>
      </c>
      <c r="B233" t="s">
        <v>112</v>
      </c>
      <c r="C233" t="s">
        <v>464</v>
      </c>
      <c r="D233" t="s">
        <v>484</v>
      </c>
      <c r="E233">
        <v>37000</v>
      </c>
      <c r="F233" s="1">
        <f>0.45*Table2[[#This Row],[Giá bán lẻ]]</f>
        <v>16650</v>
      </c>
    </row>
    <row r="234" spans="1:6">
      <c r="A234" t="s">
        <v>485</v>
      </c>
      <c r="B234" t="s">
        <v>112</v>
      </c>
      <c r="C234" t="s">
        <v>464</v>
      </c>
      <c r="D234" t="s">
        <v>486</v>
      </c>
      <c r="E234">
        <v>37000</v>
      </c>
      <c r="F234" s="1">
        <f>0.45*Table2[[#This Row],[Giá bán lẻ]]</f>
        <v>16650</v>
      </c>
    </row>
    <row r="235" spans="1:6">
      <c r="A235" t="s">
        <v>487</v>
      </c>
      <c r="B235" t="s">
        <v>112</v>
      </c>
      <c r="C235" t="s">
        <v>464</v>
      </c>
      <c r="D235" t="s">
        <v>488</v>
      </c>
      <c r="E235">
        <v>67000</v>
      </c>
      <c r="F235" s="1">
        <f>0.45*Table2[[#This Row],[Giá bán lẻ]]</f>
        <v>30150</v>
      </c>
    </row>
    <row r="236" spans="1:6">
      <c r="A236" t="s">
        <v>489</v>
      </c>
      <c r="B236" t="s">
        <v>112</v>
      </c>
      <c r="C236" t="s">
        <v>464</v>
      </c>
      <c r="D236" t="s">
        <v>490</v>
      </c>
      <c r="E236">
        <v>37000</v>
      </c>
      <c r="F236" s="1">
        <f>0.45*Table2[[#This Row],[Giá bán lẻ]]</f>
        <v>16650</v>
      </c>
    </row>
    <row r="237" spans="1:6">
      <c r="A237" t="s">
        <v>491</v>
      </c>
      <c r="B237" t="s">
        <v>112</v>
      </c>
      <c r="C237" t="s">
        <v>464</v>
      </c>
      <c r="D237" t="s">
        <v>492</v>
      </c>
      <c r="E237">
        <v>67000</v>
      </c>
      <c r="F237" s="1">
        <f>0.45*Table2[[#This Row],[Giá bán lẻ]]</f>
        <v>30150</v>
      </c>
    </row>
    <row r="238" spans="1:6">
      <c r="A238" t="s">
        <v>493</v>
      </c>
      <c r="B238" t="s">
        <v>112</v>
      </c>
      <c r="C238" t="s">
        <v>464</v>
      </c>
      <c r="D238" t="s">
        <v>494</v>
      </c>
      <c r="E238">
        <v>37000</v>
      </c>
      <c r="F238" s="1">
        <f>0.45*Table2[[#This Row],[Giá bán lẻ]]</f>
        <v>16650</v>
      </c>
    </row>
    <row r="239" spans="1:6">
      <c r="A239" t="s">
        <v>495</v>
      </c>
      <c r="B239" t="s">
        <v>112</v>
      </c>
      <c r="C239" t="s">
        <v>464</v>
      </c>
      <c r="D239" t="s">
        <v>496</v>
      </c>
      <c r="E239">
        <v>67000</v>
      </c>
      <c r="F239" s="1">
        <f>0.45*Table2[[#This Row],[Giá bán lẻ]]</f>
        <v>30150</v>
      </c>
    </row>
    <row r="240" spans="1:6">
      <c r="A240" t="s">
        <v>497</v>
      </c>
      <c r="B240" t="s">
        <v>112</v>
      </c>
      <c r="C240" t="s">
        <v>464</v>
      </c>
      <c r="D240" t="s">
        <v>498</v>
      </c>
      <c r="E240">
        <v>37000</v>
      </c>
      <c r="F240" s="1">
        <f>0.45*Table2[[#This Row],[Giá bán lẻ]]</f>
        <v>16650</v>
      </c>
    </row>
    <row r="241" spans="1:6">
      <c r="A241" t="s">
        <v>499</v>
      </c>
      <c r="B241" t="s">
        <v>112</v>
      </c>
      <c r="C241" t="s">
        <v>464</v>
      </c>
      <c r="D241" t="s">
        <v>500</v>
      </c>
      <c r="E241">
        <v>67000</v>
      </c>
      <c r="F241" s="1">
        <f>0.45*Table2[[#This Row],[Giá bán lẻ]]</f>
        <v>30150</v>
      </c>
    </row>
    <row r="242" spans="1:6">
      <c r="A242" t="s">
        <v>501</v>
      </c>
      <c r="B242" t="s">
        <v>7</v>
      </c>
      <c r="C242" t="s">
        <v>8</v>
      </c>
      <c r="D242" t="s">
        <v>502</v>
      </c>
      <c r="E242">
        <v>90529.500799999994</v>
      </c>
      <c r="F242" s="1">
        <v>34528</v>
      </c>
    </row>
    <row r="243" spans="1:6">
      <c r="A243" t="s">
        <v>503</v>
      </c>
      <c r="B243" t="s">
        <v>39</v>
      </c>
      <c r="C243" t="s">
        <v>40</v>
      </c>
      <c r="D243" t="s">
        <v>504</v>
      </c>
      <c r="E243">
        <v>802000.00028000004</v>
      </c>
      <c r="F243" s="1">
        <v>627645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6B00E0-D57B-43EC-86D6-E35BE04074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Giá 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Hop</dc:creator>
  <cp:lastModifiedBy>Pham Hop</cp:lastModifiedBy>
  <dcterms:created xsi:type="dcterms:W3CDTF">2026-06-03T09:46:09Z</dcterms:created>
  <dcterms:modified xsi:type="dcterms:W3CDTF">2026-07-22T09:54:23Z</dcterms:modified>
</cp:coreProperties>
</file>